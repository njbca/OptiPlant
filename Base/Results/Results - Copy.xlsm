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4240" windowHeight="6470" activeTab="4"/>
  </bookViews>
  <sheets>
    <sheet name="Import" sheetId="14" r:id="rId1"/>
    <sheet name="All_Scenarios" sheetId="225" r:id="rId2"/>
    <sheet name="Installed capacities" sheetId="393" r:id="rId3"/>
    <sheet name="Yearly ammonia production" sheetId="478" r:id="rId4"/>
    <sheet name="Land use " sheetId="479" r:id="rId5"/>
  </sheets>
  <calcPr calcId="162913"/>
  <pivotCaches>
    <pivotCache cacheId="24" r:id="rId6"/>
    <pivotCache cacheId="25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393" l="1"/>
  <c r="D20" i="393"/>
  <c r="E20" i="393"/>
  <c r="F20" i="393"/>
  <c r="G20" i="393"/>
  <c r="H20" i="393"/>
  <c r="B20" i="393"/>
  <c r="H24" i="393"/>
</calcChain>
</file>

<file path=xl/connections.xml><?xml version="1.0" encoding="utf-8"?>
<connections xmlns="http://schemas.openxmlformats.org/spreadsheetml/2006/main">
  <connection id="1" name="Capacities1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Capacities1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Capacities1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Capacities1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Capacities1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Capacities1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Capacities1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Capacities1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Capacities1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Capacities1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apacities1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Capacities1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Capacities1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Capacities1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Capacities1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Capacities1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Capacities1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Capacities1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apacities2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Capacities2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Capacities2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Capacities2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Capacities2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Capacities2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Capacities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Capacities2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Capacities2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Capacities2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Capacities2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Capacities2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Capacities2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Capacities2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Capacities2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Capacities2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Capacities2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Capacities2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Capacities2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Capacities2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Capacities2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Capacities2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Capacities2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Capacities2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Capacities2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Capacities2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Capacities2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Capacities2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Capacities2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Capacities2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Capacities2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Capacities2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Capacities2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Capacities3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Capacities3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Capacities3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Capacities3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Capacities3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Capacities3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Capacities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Capacities3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Capacities3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Capacities3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Capacities3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Capacities3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Capacities3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Capacities3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Capacities3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Capacities3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Capacities3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Capacities3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Capacities3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Capacities3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Capacities3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Capacities3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Capacities3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Capacities3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Capacities3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Capacities3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Capacities3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Capacities3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Capacities3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Capacities3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Capacities3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Capacities3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Capacities3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Capacities4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Capacities4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Capacities4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Capacities4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Capacities4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Capacities4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Capacities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Capacities4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Capacities4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Capacities4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Capacities4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Capacities4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Capacities4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Capacities4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Capacities4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Capacities4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Capacities4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Capacities4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Capacities4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Capacities4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Capacities4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Capacities4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Capacities4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Capacities4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Capacities4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Capacities4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Capacities4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Capacities4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Capacities4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Capacities4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Capacities4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Capacities4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Capacities4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Capacities5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Capacities5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Capacities5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Capacities5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Capacities5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Capacities5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Capacities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Capacities5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Capacities5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Capacities5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Capacities5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Capacities5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Capacities581" type="6" refreshedVersion="6" background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Capacities5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Capacities5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Capacities591" type="6" refreshedVersion="6" background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Capacities5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Capacities5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Capacities6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Capacities6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Capacities6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Capacities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Capacities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Capacities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Capacities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Capacities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Capacities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Capacities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Capacities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name="Capacities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Csv filesBought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49" name="Csv filesBought1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50" name="csv filesBought2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51" name="Hourly resultsFlows" type="6" refreshedVersion="0" background="1">
    <textPr prompt="0" sourceFile="C:\Users\njbca\Documents\Models\Brisbane study case\Results\Csv files\Hourly resultsFlows.csv" thousands=" ">
      <textFields>
        <textField/>
      </textFields>
    </textPr>
  </connection>
  <connection id="152" name="How to combines csvs docs" type="6" refreshedVersion="0" background="1">
    <textPr prompt="0" sourceFile="C:\Users\njbca\Documents\Models\Brisbane study case\Results\csv files\How to combines csvs docs.csv" thousands=" ">
      <textFields>
        <textField/>
      </textFields>
    </textPr>
  </connection>
  <connection id="153" name="Main resultsResults_Benchmark_case" type="6" refreshedVersion="0" background="1">
    <textPr prompt="0" sourceFile="C:\Users\njbca\Documents\Models\Brisbane study case\Results\Csv files\Main resultsResults_Benchmark_case.csv" thousands=" ">
      <textFields>
        <textField/>
      </textFields>
    </textPr>
  </connection>
  <connection id="154" name="Main resultsResults_Benchmark_case1" type="6" refreshedVersion="0" background="1">
    <textPr prompt="0" sourceFile="C:\Users\njbca\Documents\Models\Brisbane study case\Results\Csv files\Main resultsResults_Benchmark_case.csv" thousands=" ">
      <textFields>
        <textField/>
      </textFields>
    </textPr>
  </connection>
  <connection id="155" name="Results_Test_case10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Results_Test_case10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Results_Test_case110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Results_Test_case11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name="Results_Test_case114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Results_Test_case115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name="Results_Test_case12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name="Results_Test_case12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name="Results_Test_case1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name="Results_Test_case13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name="Results_Test_case1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name="Results_Test_case1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name="Results_Test_case1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name="Results_Test_case1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name="Results_Test_case1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Results_Test_case1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Results_Test_case1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Results_Test_case1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Results_Test_case1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Results_Test_case1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Results_Test_case19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Results_Test_case19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Results_Test_case20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name="Results_Test_case20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Results_Test_case21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Results_Test_case21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Results_Test_case214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Results_Test_case22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Results_Test_case22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Results_Test_case2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Results_Test_case23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Results_Test_case2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Results_Test_case2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Results_Test_case2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Results_Test_case2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Results_Test_case2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Results_Test_case2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Results_Test_case2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Results_Test_case2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Results_Test_case2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Results_Test_case2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Results_Test_case29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Results_Test_case30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Results_Test_case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Results_Test_case341" type="6" refreshedVersion="6" background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Results_Test_case35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Results_Test_case36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Results_Test_case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Results_Test_case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Results_Test_case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Results_Test_case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Results_Test_case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Results_Test_case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name="Results_Test_case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Results_Test_case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name="Results_Test_case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Results_Test_case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Results_Test_case9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Results_Test_case9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Sold" type="6" refreshedVersion="0" background="1">
    <textPr prompt="0" sourceFile="C:\Users\njbca\Documents\Models\Brisbane study case\Results\Sold.csv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<sst xmlns="http://schemas.openxmlformats.org/spreadsheetml/2006/main" count="1850" uniqueCount="63">
  <si>
    <t xml:space="preserve">Main results folder: </t>
  </si>
  <si>
    <t>Row Labels</t>
  </si>
  <si>
    <t>Grand Total</t>
  </si>
  <si>
    <t>Column Labels</t>
  </si>
  <si>
    <t>Batteries</t>
  </si>
  <si>
    <t>Scenario</t>
  </si>
  <si>
    <t>Type of unit</t>
  </si>
  <si>
    <t>Production(kton or GWh)</t>
  </si>
  <si>
    <t>Heat from district heating</t>
  </si>
  <si>
    <t>Heat sent to district heating</t>
  </si>
  <si>
    <t>Sale of oxygen</t>
  </si>
  <si>
    <t>Electricity from the grid</t>
  </si>
  <si>
    <t>Electricity to the grid</t>
  </si>
  <si>
    <t>Charge batteries</t>
  </si>
  <si>
    <t>Discharge batteries</t>
  </si>
  <si>
    <t xml:space="preserve">Hourly results folder </t>
  </si>
  <si>
    <t>Flows, sold or bought</t>
  </si>
  <si>
    <t>Electrolyser</t>
  </si>
  <si>
    <t>NaN</t>
  </si>
  <si>
    <t>Load average</t>
  </si>
  <si>
    <t>Full load hours</t>
  </si>
  <si>
    <t>Installed capacity(MW or t/h)</t>
  </si>
  <si>
    <t>Location</t>
  </si>
  <si>
    <t>Fuel</t>
  </si>
  <si>
    <t>AEC</t>
  </si>
  <si>
    <t>Electrolyser AEC</t>
  </si>
  <si>
    <t>Sum of Production(kton or GWh)</t>
  </si>
  <si>
    <t>CO2 capture</t>
  </si>
  <si>
    <t>NH3 plant + ASU - AEC</t>
  </si>
  <si>
    <t>NH3</t>
  </si>
  <si>
    <t>None</t>
  </si>
  <si>
    <t>H2 pipeline to NH3 plant</t>
  </si>
  <si>
    <t>Sum of Installed capacity(MW or t/h)</t>
  </si>
  <si>
    <t>H2 pipes compressor</t>
  </si>
  <si>
    <t>H2 pipes valve</t>
  </si>
  <si>
    <t>H2 buried pipes</t>
  </si>
  <si>
    <t>SOEC</t>
  </si>
  <si>
    <t>H2 storage (buried pipes)</t>
  </si>
  <si>
    <r>
      <t>C:\Users\njbca\Documents\Models\OptiPlant-UserCO2</t>
    </r>
    <r>
      <rPr>
        <sz val="11"/>
        <color rgb="FFFF0000"/>
        <rFont val="Calibri"/>
        <family val="2"/>
        <scheme val="minor"/>
      </rPr>
      <t>\ConfPapEmi\</t>
    </r>
    <r>
      <rPr>
        <sz val="11"/>
        <color theme="1"/>
        <rFont val="Calibri"/>
        <family val="2"/>
        <scheme val="minor"/>
      </rPr>
      <t>Results</t>
    </r>
    <r>
      <rPr>
        <sz val="11"/>
        <color rgb="FFFF0000"/>
        <rFont val="Calibri"/>
        <family val="2"/>
        <scheme val="minor"/>
      </rPr>
      <t>\Results_main\</t>
    </r>
    <r>
      <rPr>
        <sz val="11"/>
        <color theme="1"/>
        <rFont val="Calibri"/>
        <family val="2"/>
        <scheme val="minor"/>
      </rPr>
      <t>Hourly results\Flows\</t>
    </r>
  </si>
  <si>
    <t>Land use per unit (km2)</t>
  </si>
  <si>
    <t>Land use per unit (km2/GJfuel)</t>
  </si>
  <si>
    <t>Land use total system (km2/GJfuel)</t>
  </si>
  <si>
    <t>Bornholm</t>
  </si>
  <si>
    <t>NH3 plant with AEC layout (t NH3/h)</t>
  </si>
  <si>
    <t>Electrolyser AEC (t H2/h)</t>
  </si>
  <si>
    <t>Batteries (MWh)</t>
  </si>
  <si>
    <t>H2 storage (buried pipes) (t H2)</t>
  </si>
  <si>
    <t>NH3 plant AEC layout</t>
  </si>
  <si>
    <t>Sum of Land use per unit (km2)</t>
  </si>
  <si>
    <r>
      <t>C:\Users\njbca\Documents\Models\OptiPlant-World</t>
    </r>
    <r>
      <rPr>
        <sz val="11"/>
        <color rgb="FFFF0000"/>
        <rFont val="Calibri"/>
        <family val="2"/>
        <scheme val="minor"/>
      </rPr>
      <t>\Base\</t>
    </r>
    <r>
      <rPr>
        <sz val="11"/>
        <color theme="1"/>
        <rFont val="Calibri"/>
        <family val="2"/>
        <scheme val="minor"/>
      </rPr>
      <t>Results</t>
    </r>
    <r>
      <rPr>
        <sz val="11"/>
        <color rgb="FFFF0000"/>
        <rFont val="Calibri"/>
        <family val="2"/>
        <scheme val="minor"/>
      </rPr>
      <t>\Results_bornholm</t>
    </r>
    <r>
      <rPr>
        <sz val="11"/>
        <color theme="5"/>
        <rFont val="Calibri"/>
        <family val="2"/>
        <scheme val="minor"/>
      </rPr>
      <t>\</t>
    </r>
    <r>
      <rPr>
        <sz val="11"/>
        <color theme="1"/>
        <rFont val="Calibri"/>
        <family val="2"/>
        <scheme val="minor"/>
      </rPr>
      <t>Main results\</t>
    </r>
  </si>
  <si>
    <t>Year data</t>
  </si>
  <si>
    <t>Profile</t>
  </si>
  <si>
    <t>Ammonia-AEC</t>
  </si>
  <si>
    <t>Waste water plant</t>
  </si>
  <si>
    <t>OFF_SP379-HH100</t>
  </si>
  <si>
    <t>OFF_SP379-HH150</t>
  </si>
  <si>
    <t>OFF_SP450-HH100</t>
  </si>
  <si>
    <t>OFF_SP450-HH150</t>
  </si>
  <si>
    <t>AmmoniaFlex-AEC</t>
  </si>
  <si>
    <t>3 to 7 scen</t>
  </si>
  <si>
    <t>1 to 5 scen</t>
  </si>
  <si>
    <t>NH3 plant with AEC layout (kt NH3)</t>
  </si>
  <si>
    <t>Waste water plant (t H2O / 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</si>
</sst>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1" fontId="0" fillId="0" borderId="0" xfId="0" applyNumberFormat="1"/>
    <xf numFmtId="165" fontId="0" fillId="0" borderId="0" xfId="0" applyNumberFormat="1"/>
    <xf numFmtId="2" fontId="0" fillId="0" borderId="0" xfId="0" applyNumberFormat="1"/>
    <xf numFmtId="16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32">
    <dxf>
      <numFmt numFmtId="2" formatCode="0.00"/>
    </dxf>
    <dxf>
      <numFmt numFmtId="2" formatCode="0.00"/>
    </dxf>
    <dxf>
      <numFmt numFmtId="165" formatCode="0.000"/>
    </dxf>
    <dxf>
      <numFmt numFmtId="165" formatCode="0.000"/>
    </dxf>
    <dxf>
      <numFmt numFmtId="172" formatCode="0.0000"/>
    </dxf>
    <dxf>
      <numFmt numFmtId="172" formatCode="0.0000"/>
    </dxf>
    <dxf>
      <numFmt numFmtId="171" formatCode="0.00000"/>
    </dxf>
    <dxf>
      <numFmt numFmtId="171" formatCode="0.00000"/>
    </dxf>
    <dxf>
      <numFmt numFmtId="170" formatCode="0.000000"/>
    </dxf>
    <dxf>
      <numFmt numFmtId="170" formatCode="0.000000"/>
    </dxf>
    <dxf>
      <numFmt numFmtId="169" formatCode="0.0000000"/>
    </dxf>
    <dxf>
      <numFmt numFmtId="169" formatCode="0.0000000"/>
    </dxf>
    <dxf>
      <numFmt numFmtId="168" formatCode="0.00000000"/>
    </dxf>
    <dxf>
      <numFmt numFmtId="168" formatCode="0.00000000"/>
    </dxf>
    <dxf>
      <numFmt numFmtId="167" formatCode="0.000000000"/>
    </dxf>
    <dxf>
      <numFmt numFmtId="167" formatCode="0.000000000"/>
    </dxf>
    <dxf>
      <numFmt numFmtId="166" formatCode="0.0000000000"/>
    </dxf>
    <dxf>
      <numFmt numFmtId="166" formatCode="0.000000000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72" formatCode="0.0000"/>
    </dxf>
    <dxf>
      <numFmt numFmtId="2" formatCode="0.00"/>
    </dxf>
    <dxf>
      <numFmt numFmtId="164" formatCode="0.0"/>
    </dxf>
    <dxf>
      <numFmt numFmtId="2" formatCode="0.00"/>
    </dxf>
    <dxf>
      <numFmt numFmtId="164" formatCode="0.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72" formatCode="0.0000"/>
    </dxf>
  </dxfs>
  <tableStyles count="0" defaultTableStyle="TableStyleMedium2" defaultPivotStyle="PivotStyleLight16"/>
  <colors>
    <mruColors>
      <color rgb="FF000000"/>
      <color rgb="FFCCFF66"/>
      <color rgb="FFFF9933"/>
      <color rgb="FFFFFF66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Copy.xlsm]Installed capacities!PivotTable1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'Installed capacities'!$B$3:$B$8</c:f>
              <c:strCache>
                <c:ptCount val="1"/>
                <c:pt idx="0">
                  <c:v>Ammonia-AEC - AEC - NH3 - None - 2015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capacities'!$B$9:$B$17</c:f>
              <c:numCache>
                <c:formatCode>General</c:formatCode>
                <c:ptCount val="9"/>
                <c:pt idx="0">
                  <c:v>85.175352370948104</c:v>
                </c:pt>
                <c:pt idx="1">
                  <c:v>184.685185489849</c:v>
                </c:pt>
                <c:pt idx="2">
                  <c:v>16.416460932431001</c:v>
                </c:pt>
                <c:pt idx="3">
                  <c:v>114.63251678103499</c:v>
                </c:pt>
                <c:pt idx="4">
                  <c:v>0</c:v>
                </c:pt>
                <c:pt idx="5">
                  <c:v>887.81644832931499</c:v>
                </c:pt>
                <c:pt idx="6">
                  <c:v>0</c:v>
                </c:pt>
                <c:pt idx="7">
                  <c:v>28.853831842444201</c:v>
                </c:pt>
                <c:pt idx="8">
                  <c:v>148.04475677727399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C5-49F8-89AE-2AF1BEA00020}"/>
            </c:ext>
          </c:extLst>
        </c:ser>
        <c:ser>
          <c:idx val="1"/>
          <c:order val="1"/>
          <c:tx>
            <c:strRef>
              <c:f>'Installed capacities'!$C$3:$C$8</c:f>
              <c:strCache>
                <c:ptCount val="1"/>
                <c:pt idx="0">
                  <c:v>Ammonia-AEC - AEC - NH3 - None - 2016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capacities'!$C$9:$C$17</c:f>
              <c:numCache>
                <c:formatCode>General</c:formatCode>
                <c:ptCount val="9"/>
                <c:pt idx="0">
                  <c:v>96.1614179459539</c:v>
                </c:pt>
                <c:pt idx="1">
                  <c:v>218.45764285069899</c:v>
                </c:pt>
                <c:pt idx="2">
                  <c:v>19.418457142284399</c:v>
                </c:pt>
                <c:pt idx="3">
                  <c:v>205.659810348126</c:v>
                </c:pt>
                <c:pt idx="4">
                  <c:v>0</c:v>
                </c:pt>
                <c:pt idx="5">
                  <c:v>1110.20583762563</c:v>
                </c:pt>
                <c:pt idx="6">
                  <c:v>0</c:v>
                </c:pt>
                <c:pt idx="7">
                  <c:v>0</c:v>
                </c:pt>
                <c:pt idx="8">
                  <c:v>277.037840184532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B-46A2-B74A-6B6A15A5D698}"/>
            </c:ext>
          </c:extLst>
        </c:ser>
        <c:ser>
          <c:idx val="2"/>
          <c:order val="2"/>
          <c:tx>
            <c:strRef>
              <c:f>'Installed capacities'!$D$3:$D$8</c:f>
              <c:strCache>
                <c:ptCount val="1"/>
                <c:pt idx="0">
                  <c:v>Ammonia-AEC - AEC - NH3 - None - 2017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capacities'!$D$9:$D$17</c:f>
              <c:numCache>
                <c:formatCode>General</c:formatCode>
                <c:ptCount val="9"/>
                <c:pt idx="0">
                  <c:v>83.628262974111394</c:v>
                </c:pt>
                <c:pt idx="1">
                  <c:v>193.27424532323101</c:v>
                </c:pt>
                <c:pt idx="2">
                  <c:v>17.179932917620501</c:v>
                </c:pt>
                <c:pt idx="3">
                  <c:v>195.16465100984399</c:v>
                </c:pt>
                <c:pt idx="4">
                  <c:v>0</c:v>
                </c:pt>
                <c:pt idx="5">
                  <c:v>958.27230622821298</c:v>
                </c:pt>
                <c:pt idx="6">
                  <c:v>0</c:v>
                </c:pt>
                <c:pt idx="7">
                  <c:v>0</c:v>
                </c:pt>
                <c:pt idx="8">
                  <c:v>113.89749548898099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B-46A2-B74A-6B6A15A5D698}"/>
            </c:ext>
          </c:extLst>
        </c:ser>
        <c:ser>
          <c:idx val="3"/>
          <c:order val="3"/>
          <c:tx>
            <c:strRef>
              <c:f>'Installed capacities'!$E$3:$E$8</c:f>
              <c:strCache>
                <c:ptCount val="1"/>
                <c:pt idx="0">
                  <c:v>Ammonia-AEC - AEC - NH3 - None - 2018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capacities'!$E$9:$E$17</c:f>
              <c:numCache>
                <c:formatCode>General</c:formatCode>
                <c:ptCount val="9"/>
                <c:pt idx="0">
                  <c:v>93.714204554132607</c:v>
                </c:pt>
                <c:pt idx="1">
                  <c:v>220.47583712286601</c:v>
                </c:pt>
                <c:pt idx="2">
                  <c:v>19.5978521886992</c:v>
                </c:pt>
                <c:pt idx="3">
                  <c:v>245.858007765178</c:v>
                </c:pt>
                <c:pt idx="4">
                  <c:v>0</c:v>
                </c:pt>
                <c:pt idx="5">
                  <c:v>1113.7365466259801</c:v>
                </c:pt>
                <c:pt idx="6">
                  <c:v>0</c:v>
                </c:pt>
                <c:pt idx="7">
                  <c:v>0</c:v>
                </c:pt>
                <c:pt idx="8">
                  <c:v>171.56889698673999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B-46A2-B74A-6B6A15A5D698}"/>
            </c:ext>
          </c:extLst>
        </c:ser>
        <c:ser>
          <c:idx val="4"/>
          <c:order val="4"/>
          <c:tx>
            <c:strRef>
              <c:f>'Installed capacities'!$F$3:$F$8</c:f>
              <c:strCache>
                <c:ptCount val="1"/>
                <c:pt idx="0">
                  <c:v>Ammonia-AEC - AEC - NH3 - None - 2019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capacities'!$F$9:$F$17</c:f>
              <c:numCache>
                <c:formatCode>General</c:formatCode>
                <c:ptCount val="9"/>
                <c:pt idx="0">
                  <c:v>84.841699480269796</c:v>
                </c:pt>
                <c:pt idx="1">
                  <c:v>195.31699761637501</c:v>
                </c:pt>
                <c:pt idx="2">
                  <c:v>17.361510899233298</c:v>
                </c:pt>
                <c:pt idx="3">
                  <c:v>151.58288150016901</c:v>
                </c:pt>
                <c:pt idx="4">
                  <c:v>0</c:v>
                </c:pt>
                <c:pt idx="5">
                  <c:v>977.78667610196896</c:v>
                </c:pt>
                <c:pt idx="6">
                  <c:v>0</c:v>
                </c:pt>
                <c:pt idx="7">
                  <c:v>0</c:v>
                </c:pt>
                <c:pt idx="8">
                  <c:v>72.121986174380297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B-46A2-B74A-6B6A15A5D698}"/>
            </c:ext>
          </c:extLst>
        </c:ser>
        <c:ser>
          <c:idx val="5"/>
          <c:order val="5"/>
          <c:tx>
            <c:strRef>
              <c:f>'Installed capacities'!$G$3:$G$8</c:f>
              <c:strCache>
                <c:ptCount val="1"/>
                <c:pt idx="0">
                  <c:v>Ammonia-AEC - AEC - NH3 - None - 2020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capacities'!$G$9:$G$17</c:f>
              <c:numCache>
                <c:formatCode>General</c:formatCode>
                <c:ptCount val="9"/>
                <c:pt idx="0">
                  <c:v>88.022694697406195</c:v>
                </c:pt>
                <c:pt idx="1">
                  <c:v>195.620209708255</c:v>
                </c:pt>
                <c:pt idx="2">
                  <c:v>17.388463085178198</c:v>
                </c:pt>
                <c:pt idx="3">
                  <c:v>144.54417045528501</c:v>
                </c:pt>
                <c:pt idx="4">
                  <c:v>0</c:v>
                </c:pt>
                <c:pt idx="5">
                  <c:v>981.01122236987601</c:v>
                </c:pt>
                <c:pt idx="6">
                  <c:v>0</c:v>
                </c:pt>
                <c:pt idx="7">
                  <c:v>0</c:v>
                </c:pt>
                <c:pt idx="8">
                  <c:v>237.080612144556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B-46A2-B74A-6B6A15A5D698}"/>
            </c:ext>
          </c:extLst>
        </c:ser>
        <c:ser>
          <c:idx val="6"/>
          <c:order val="6"/>
          <c:tx>
            <c:strRef>
              <c:f>'Installed capacities'!$H$3:$H$8</c:f>
              <c:strCache>
                <c:ptCount val="1"/>
                <c:pt idx="0">
                  <c:v>Ammonia-AEC - AEC - NH3 - None - 2021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capacities'!$H$9:$H$17</c:f>
              <c:numCache>
                <c:formatCode>General</c:formatCode>
                <c:ptCount val="9"/>
                <c:pt idx="0">
                  <c:v>75.460038673426297</c:v>
                </c:pt>
                <c:pt idx="1">
                  <c:v>215.12485472608799</c:v>
                </c:pt>
                <c:pt idx="2">
                  <c:v>19.1222093089856</c:v>
                </c:pt>
                <c:pt idx="3">
                  <c:v>494.029902908824</c:v>
                </c:pt>
                <c:pt idx="4">
                  <c:v>0</c:v>
                </c:pt>
                <c:pt idx="5">
                  <c:v>1069.6731890557</c:v>
                </c:pt>
                <c:pt idx="6">
                  <c:v>0</c:v>
                </c:pt>
                <c:pt idx="7">
                  <c:v>0</c:v>
                </c:pt>
                <c:pt idx="8">
                  <c:v>116.388580528137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B-46A2-B74A-6B6A15A5D698}"/>
            </c:ext>
          </c:extLst>
        </c:ser>
        <c:ser>
          <c:idx val="7"/>
          <c:order val="7"/>
          <c:tx>
            <c:strRef>
              <c:f>'Installed capacities'!$I$3:$I$8</c:f>
              <c:strCache>
                <c:ptCount val="1"/>
                <c:pt idx="0">
                  <c:v>AmmoniaFlex-AEC - AEC - NH3 - None - 2015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capacities'!$I$9:$I$17</c:f>
              <c:numCache>
                <c:formatCode>0</c:formatCode>
                <c:ptCount val="9"/>
                <c:pt idx="0">
                  <c:v>85.548933436373403</c:v>
                </c:pt>
                <c:pt idx="1">
                  <c:v>186.42419576188999</c:v>
                </c:pt>
                <c:pt idx="2">
                  <c:v>16.571039623279098</c:v>
                </c:pt>
                <c:pt idx="3">
                  <c:v>114.793616030363</c:v>
                </c:pt>
                <c:pt idx="4">
                  <c:v>0</c:v>
                </c:pt>
                <c:pt idx="5">
                  <c:v>911.612675393514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8A9-9FD5-D9BEA6D4C952}"/>
            </c:ext>
          </c:extLst>
        </c:ser>
        <c:ser>
          <c:idx val="8"/>
          <c:order val="8"/>
          <c:tx>
            <c:strRef>
              <c:f>'Installed capacities'!$J$3:$J$8</c:f>
              <c:strCache>
                <c:ptCount val="1"/>
                <c:pt idx="0">
                  <c:v>AmmoniaFlex-AEC - AEC - NH3 - None - 2016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capacities'!$J$9:$J$17</c:f>
              <c:numCache>
                <c:formatCode>0</c:formatCode>
                <c:ptCount val="9"/>
                <c:pt idx="0">
                  <c:v>104.98044729223901</c:v>
                </c:pt>
                <c:pt idx="1">
                  <c:v>219.16277013697399</c:v>
                </c:pt>
                <c:pt idx="2">
                  <c:v>19.481135123286599</c:v>
                </c:pt>
                <c:pt idx="3">
                  <c:v>46.356822244338197</c:v>
                </c:pt>
                <c:pt idx="4">
                  <c:v>0</c:v>
                </c:pt>
                <c:pt idx="5">
                  <c:v>1100.7232386042999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3-48A9-9FD5-D9BEA6D4C952}"/>
            </c:ext>
          </c:extLst>
        </c:ser>
        <c:ser>
          <c:idx val="9"/>
          <c:order val="9"/>
          <c:tx>
            <c:strRef>
              <c:f>'Installed capacities'!$K$3:$K$8</c:f>
              <c:strCache>
                <c:ptCount val="1"/>
                <c:pt idx="0">
                  <c:v>AmmoniaFlex-AEC - AEC - NH3 - None - 2017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capacities'!$K$9:$K$17</c:f>
              <c:numCache>
                <c:formatCode>0</c:formatCode>
                <c:ptCount val="9"/>
                <c:pt idx="0">
                  <c:v>85.342854176083307</c:v>
                </c:pt>
                <c:pt idx="1">
                  <c:v>194.60926039629399</c:v>
                </c:pt>
                <c:pt idx="2">
                  <c:v>17.298600924115</c:v>
                </c:pt>
                <c:pt idx="3">
                  <c:v>163.236923202496</c:v>
                </c:pt>
                <c:pt idx="4">
                  <c:v>0</c:v>
                </c:pt>
                <c:pt idx="5">
                  <c:v>955.59983846333398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73-48A9-9FD5-D9BEA6D4C952}"/>
            </c:ext>
          </c:extLst>
        </c:ser>
        <c:ser>
          <c:idx val="10"/>
          <c:order val="10"/>
          <c:tx>
            <c:strRef>
              <c:f>'Installed capacities'!$L$3:$L$8</c:f>
              <c:strCache>
                <c:ptCount val="1"/>
                <c:pt idx="0">
                  <c:v>AmmoniaFlex-AEC - AEC - NH3 - None - 2018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capacities'!$L$9:$L$17</c:f>
              <c:numCache>
                <c:formatCode>0</c:formatCode>
                <c:ptCount val="9"/>
                <c:pt idx="0">
                  <c:v>94.543189332053501</c:v>
                </c:pt>
                <c:pt idx="1">
                  <c:v>223.07407492446501</c:v>
                </c:pt>
                <c:pt idx="2">
                  <c:v>19.828806659952502</c:v>
                </c:pt>
                <c:pt idx="3">
                  <c:v>231.056453662244</c:v>
                </c:pt>
                <c:pt idx="4">
                  <c:v>0</c:v>
                </c:pt>
                <c:pt idx="5">
                  <c:v>1111.5858662482401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73-48A9-9FD5-D9BEA6D4C952}"/>
            </c:ext>
          </c:extLst>
        </c:ser>
        <c:ser>
          <c:idx val="11"/>
          <c:order val="11"/>
          <c:tx>
            <c:strRef>
              <c:f>'Installed capacities'!$M$3:$M$8</c:f>
              <c:strCache>
                <c:ptCount val="1"/>
                <c:pt idx="0">
                  <c:v>AmmoniaFlex-AEC - AEC - NH3 - None - 2019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capacities'!$M$9:$M$17</c:f>
              <c:numCache>
                <c:formatCode>0</c:formatCode>
                <c:ptCount val="9"/>
                <c:pt idx="0">
                  <c:v>84.863295535122504</c:v>
                </c:pt>
                <c:pt idx="1">
                  <c:v>196.36014127335099</c:v>
                </c:pt>
                <c:pt idx="2">
                  <c:v>17.454234779853401</c:v>
                </c:pt>
                <c:pt idx="3">
                  <c:v>156.31958116332399</c:v>
                </c:pt>
                <c:pt idx="4">
                  <c:v>0</c:v>
                </c:pt>
                <c:pt idx="5">
                  <c:v>977.49316410915299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73-48A9-9FD5-D9BEA6D4C952}"/>
            </c:ext>
          </c:extLst>
        </c:ser>
        <c:ser>
          <c:idx val="12"/>
          <c:order val="12"/>
          <c:tx>
            <c:strRef>
              <c:f>'Installed capacities'!$N$3:$N$8</c:f>
              <c:strCache>
                <c:ptCount val="1"/>
                <c:pt idx="0">
                  <c:v>AmmoniaFlex-AEC - AEC - NH3 - None - 2020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capacities'!$N$9:$N$17</c:f>
              <c:numCache>
                <c:formatCode>0</c:formatCode>
                <c:ptCount val="9"/>
                <c:pt idx="0">
                  <c:v>89.553952362204996</c:v>
                </c:pt>
                <c:pt idx="1">
                  <c:v>198.07843548337399</c:v>
                </c:pt>
                <c:pt idx="2">
                  <c:v>17.6069720429666</c:v>
                </c:pt>
                <c:pt idx="3">
                  <c:v>123.14769315655001</c:v>
                </c:pt>
                <c:pt idx="4">
                  <c:v>2.9356515357022799</c:v>
                </c:pt>
                <c:pt idx="5">
                  <c:v>974.38709462625798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73-48A9-9FD5-D9BEA6D4C952}"/>
            </c:ext>
          </c:extLst>
        </c:ser>
        <c:ser>
          <c:idx val="13"/>
          <c:order val="13"/>
          <c:tx>
            <c:strRef>
              <c:f>'Installed capacities'!$O$3:$O$8</c:f>
              <c:strCache>
                <c:ptCount val="1"/>
                <c:pt idx="0">
                  <c:v>AmmoniaFlex-AEC - AEC - NH3 - None - 2021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capacities'!$O$9:$O$17</c:f>
              <c:numCache>
                <c:formatCode>0</c:formatCode>
                <c:ptCount val="9"/>
                <c:pt idx="0">
                  <c:v>77.448847781876495</c:v>
                </c:pt>
                <c:pt idx="1">
                  <c:v>216.30393657190501</c:v>
                </c:pt>
                <c:pt idx="2">
                  <c:v>19.227016584169299</c:v>
                </c:pt>
                <c:pt idx="3">
                  <c:v>464.413398576823</c:v>
                </c:pt>
                <c:pt idx="4">
                  <c:v>0</c:v>
                </c:pt>
                <c:pt idx="5">
                  <c:v>1067.8086867622601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73-48A9-9FD5-D9BEA6D4C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0972576"/>
        <c:axId val="420973232"/>
      </c:barChart>
      <c:catAx>
        <c:axId val="4209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3232"/>
        <c:crosses val="autoZero"/>
        <c:auto val="1"/>
        <c:lblAlgn val="ctr"/>
        <c:lblOffset val="100"/>
        <c:noMultiLvlLbl val="0"/>
      </c:catAx>
      <c:valAx>
        <c:axId val="420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Copy.xlsm]Yearly ammonia production!PivotTable1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'Yearly ammonia production'!$B$3:$B$7</c:f>
              <c:strCache>
                <c:ptCount val="1"/>
                <c:pt idx="0">
                  <c:v>Ammonia-AEC - AEC - NH3 - None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'Yearly ammonia production'!$A$8:$A$15</c:f>
              <c:multiLvlStrCache>
                <c:ptCount val="7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</c:lvl>
                <c:lvl>
                  <c:pt idx="0">
                    <c:v>NH3 plant with AEC layout (kt NH3)</c:v>
                  </c:pt>
                </c:lvl>
              </c:multiLvlStrCache>
            </c:multiLvlStrRef>
          </c:cat>
          <c:val>
            <c:numRef>
              <c:f>'Yearly ammonia production'!$B$8:$B$15</c:f>
              <c:numCache>
                <c:formatCode>General</c:formatCode>
                <c:ptCount val="7"/>
                <c:pt idx="0">
                  <c:v>425.80645161289902</c:v>
                </c:pt>
                <c:pt idx="1">
                  <c:v>425.80645161289601</c:v>
                </c:pt>
                <c:pt idx="2">
                  <c:v>425.80645161289601</c:v>
                </c:pt>
                <c:pt idx="3">
                  <c:v>425.80645161289402</c:v>
                </c:pt>
                <c:pt idx="4">
                  <c:v>425.80645161289902</c:v>
                </c:pt>
                <c:pt idx="5">
                  <c:v>425.80645161290403</c:v>
                </c:pt>
                <c:pt idx="6">
                  <c:v>425.806451612898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52-423E-8E5A-C3ACDFD0B570}"/>
            </c:ext>
          </c:extLst>
        </c:ser>
        <c:ser>
          <c:idx val="1"/>
          <c:order val="1"/>
          <c:tx>
            <c:strRef>
              <c:f>'Yearly ammonia production'!$C$3:$C$7</c:f>
              <c:strCache>
                <c:ptCount val="1"/>
                <c:pt idx="0">
                  <c:v>AmmoniaFlex-AEC - AEC - NH3 - None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'Yearly ammonia production'!$A$8:$A$15</c:f>
              <c:multiLvlStrCache>
                <c:ptCount val="7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</c:lvl>
                <c:lvl>
                  <c:pt idx="0">
                    <c:v>NH3 plant with AEC layout (kt NH3)</c:v>
                  </c:pt>
                </c:lvl>
              </c:multiLvlStrCache>
            </c:multiLvlStrRef>
          </c:cat>
          <c:val>
            <c:numRef>
              <c:f>'Yearly ammonia production'!$C$8:$C$15</c:f>
              <c:numCache>
                <c:formatCode>General</c:formatCode>
                <c:ptCount val="7"/>
                <c:pt idx="0">
                  <c:v>425.80645161291199</c:v>
                </c:pt>
                <c:pt idx="1">
                  <c:v>425.80645161290499</c:v>
                </c:pt>
                <c:pt idx="2">
                  <c:v>425.80645161291397</c:v>
                </c:pt>
                <c:pt idx="3">
                  <c:v>425.80645161289402</c:v>
                </c:pt>
                <c:pt idx="4">
                  <c:v>425.80645161290403</c:v>
                </c:pt>
                <c:pt idx="5">
                  <c:v>425.80645161290698</c:v>
                </c:pt>
                <c:pt idx="6">
                  <c:v>425.80645161291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52-423E-8E5A-C3ACDFD0B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0972576"/>
        <c:axId val="420973232"/>
      </c:barChart>
      <c:catAx>
        <c:axId val="4209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3232"/>
        <c:crosses val="autoZero"/>
        <c:auto val="1"/>
        <c:lblAlgn val="ctr"/>
        <c:lblOffset val="100"/>
        <c:noMultiLvlLbl val="0"/>
      </c:catAx>
      <c:valAx>
        <c:axId val="420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Copy.xlsm]Land use !PivotTable1</c:name>
    <c:fmtId val="1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'Land use '!$B$4:$B$5</c:f>
              <c:strCache>
                <c:ptCount val="1"/>
                <c:pt idx="0">
                  <c:v>H2 storage (buried pipes)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'Land use '!$A$6:$A$22</c:f>
              <c:multiLvlStrCache>
                <c:ptCount val="14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  <c:pt idx="7">
                    <c:v>2015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2018</c:v>
                  </c:pt>
                  <c:pt idx="11">
                    <c:v>2019</c:v>
                  </c:pt>
                  <c:pt idx="12">
                    <c:v>2020</c:v>
                  </c:pt>
                  <c:pt idx="13">
                    <c:v>2021</c:v>
                  </c:pt>
                </c:lvl>
                <c:lvl>
                  <c:pt idx="0">
                    <c:v>Ammonia-AEC</c:v>
                  </c:pt>
                  <c:pt idx="7">
                    <c:v>AmmoniaFlex-AEC</c:v>
                  </c:pt>
                </c:lvl>
              </c:multiLvlStrCache>
            </c:multiLvlStrRef>
          </c:cat>
          <c:val>
            <c:numRef>
              <c:f>'Land use '!$B$6:$B$22</c:f>
              <c:numCache>
                <c:formatCode>General</c:formatCode>
                <c:ptCount val="14"/>
                <c:pt idx="0">
                  <c:v>0.114632516781035</c:v>
                </c:pt>
                <c:pt idx="1">
                  <c:v>0.205659810348126</c:v>
                </c:pt>
                <c:pt idx="2">
                  <c:v>0.19516465100984401</c:v>
                </c:pt>
                <c:pt idx="3">
                  <c:v>0.24585800776517799</c:v>
                </c:pt>
                <c:pt idx="4">
                  <c:v>0.15158288150016899</c:v>
                </c:pt>
                <c:pt idx="5">
                  <c:v>0.144544170455285</c:v>
                </c:pt>
                <c:pt idx="6">
                  <c:v>0.49402990290882398</c:v>
                </c:pt>
                <c:pt idx="7">
                  <c:v>0.114793616030363</c:v>
                </c:pt>
                <c:pt idx="8">
                  <c:v>4.6356822244338201E-2</c:v>
                </c:pt>
                <c:pt idx="9">
                  <c:v>0.163236923202496</c:v>
                </c:pt>
                <c:pt idx="10">
                  <c:v>0.231056453662244</c:v>
                </c:pt>
                <c:pt idx="11">
                  <c:v>0.15631958116332401</c:v>
                </c:pt>
                <c:pt idx="12">
                  <c:v>0.12314769315655</c:v>
                </c:pt>
                <c:pt idx="13">
                  <c:v>0.46441339857682301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0-46F4-A1E1-1CB264392C2A}"/>
            </c:ext>
          </c:extLst>
        </c:ser>
        <c:ser>
          <c:idx val="1"/>
          <c:order val="1"/>
          <c:tx>
            <c:strRef>
              <c:f>'Land use '!$C$4:$C$5</c:f>
              <c:strCache>
                <c:ptCount val="1"/>
                <c:pt idx="0">
                  <c:v>Electrolyser AEC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'Land use '!$A$6:$A$22</c:f>
              <c:multiLvlStrCache>
                <c:ptCount val="14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  <c:pt idx="7">
                    <c:v>2015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2018</c:v>
                  </c:pt>
                  <c:pt idx="11">
                    <c:v>2019</c:v>
                  </c:pt>
                  <c:pt idx="12">
                    <c:v>2020</c:v>
                  </c:pt>
                  <c:pt idx="13">
                    <c:v>2021</c:v>
                  </c:pt>
                </c:lvl>
                <c:lvl>
                  <c:pt idx="0">
                    <c:v>Ammonia-AEC</c:v>
                  </c:pt>
                  <c:pt idx="7">
                    <c:v>AmmoniaFlex-AEC</c:v>
                  </c:pt>
                </c:lvl>
              </c:multiLvlStrCache>
            </c:multiLvlStrRef>
          </c:cat>
          <c:val>
            <c:numRef>
              <c:f>'Land use '!$C$6:$C$22</c:f>
              <c:numCache>
                <c:formatCode>General</c:formatCode>
                <c:ptCount val="14"/>
                <c:pt idx="0">
                  <c:v>7.7649860210398996E-3</c:v>
                </c:pt>
                <c:pt idx="1">
                  <c:v>9.1849302283005304E-3</c:v>
                </c:pt>
                <c:pt idx="2">
                  <c:v>8.1261082700345103E-3</c:v>
                </c:pt>
                <c:pt idx="3">
                  <c:v>9.26978408525473E-3</c:v>
                </c:pt>
                <c:pt idx="4">
                  <c:v>8.2119946553373905E-3</c:v>
                </c:pt>
                <c:pt idx="5">
                  <c:v>8.2247430392893197E-3</c:v>
                </c:pt>
                <c:pt idx="6">
                  <c:v>9.0448050031502001E-3</c:v>
                </c:pt>
                <c:pt idx="7">
                  <c:v>7.8381017418110398E-3</c:v>
                </c:pt>
                <c:pt idx="8">
                  <c:v>9.2145769133145598E-3</c:v>
                </c:pt>
                <c:pt idx="9">
                  <c:v>8.1822382371064296E-3</c:v>
                </c:pt>
                <c:pt idx="10">
                  <c:v>9.3790255501575402E-3</c:v>
                </c:pt>
                <c:pt idx="11">
                  <c:v>8.2558530508706901E-3</c:v>
                </c:pt>
                <c:pt idx="12">
                  <c:v>8.3280977763232206E-3</c:v>
                </c:pt>
                <c:pt idx="13">
                  <c:v>9.0943788443121204E-3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0-46F4-A1E1-1CB264392C2A}"/>
            </c:ext>
          </c:extLst>
        </c:ser>
        <c:ser>
          <c:idx val="2"/>
          <c:order val="2"/>
          <c:tx>
            <c:strRef>
              <c:f>'Land use '!$D$4:$D$5</c:f>
              <c:strCache>
                <c:ptCount val="1"/>
                <c:pt idx="0">
                  <c:v>NH3 plant AEC layout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'Land use '!$A$6:$A$22</c:f>
              <c:multiLvlStrCache>
                <c:ptCount val="14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  <c:pt idx="7">
                    <c:v>2015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2018</c:v>
                  </c:pt>
                  <c:pt idx="11">
                    <c:v>2019</c:v>
                  </c:pt>
                  <c:pt idx="12">
                    <c:v>2020</c:v>
                  </c:pt>
                  <c:pt idx="13">
                    <c:v>2021</c:v>
                  </c:pt>
                </c:lvl>
                <c:lvl>
                  <c:pt idx="0">
                    <c:v>Ammonia-AEC</c:v>
                  </c:pt>
                  <c:pt idx="7">
                    <c:v>AmmoniaFlex-AEC</c:v>
                  </c:pt>
                </c:lvl>
              </c:multiLvlStrCache>
            </c:multiLvlStrRef>
          </c:cat>
          <c:val>
            <c:numRef>
              <c:f>'Land use '!$D$6:$D$22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60-46F4-A1E1-1CB264392C2A}"/>
            </c:ext>
          </c:extLst>
        </c:ser>
        <c:ser>
          <c:idx val="3"/>
          <c:order val="3"/>
          <c:tx>
            <c:strRef>
              <c:f>'Land use '!$E$4:$E$5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'Land use '!$A$6:$A$22</c:f>
              <c:multiLvlStrCache>
                <c:ptCount val="14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  <c:pt idx="7">
                    <c:v>2015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2018</c:v>
                  </c:pt>
                  <c:pt idx="11">
                    <c:v>2019</c:v>
                  </c:pt>
                  <c:pt idx="12">
                    <c:v>2020</c:v>
                  </c:pt>
                  <c:pt idx="13">
                    <c:v>2021</c:v>
                  </c:pt>
                </c:lvl>
                <c:lvl>
                  <c:pt idx="0">
                    <c:v>Ammonia-AEC</c:v>
                  </c:pt>
                  <c:pt idx="7">
                    <c:v>AmmoniaFlex-AEC</c:v>
                  </c:pt>
                </c:lvl>
              </c:multiLvlStrCache>
            </c:multiLvlStrRef>
          </c:cat>
          <c:val>
            <c:numRef>
              <c:f>'Land use '!$E$6:$E$22</c:f>
              <c:numCache>
                <c:formatCode>General</c:formatCode>
                <c:ptCount val="14"/>
                <c:pt idx="0">
                  <c:v>2.5661091174727499E-3</c:v>
                </c:pt>
                <c:pt idx="1">
                  <c:v>4.8019892298652202E-3</c:v>
                </c:pt>
                <c:pt idx="2">
                  <c:v>1.9742232551423402E-3</c:v>
                </c:pt>
                <c:pt idx="3">
                  <c:v>2.9738608811034901E-3</c:v>
                </c:pt>
                <c:pt idx="4">
                  <c:v>1.2501144270225899E-3</c:v>
                </c:pt>
                <c:pt idx="5">
                  <c:v>4.1093972771723102E-3</c:v>
                </c:pt>
                <c:pt idx="6">
                  <c:v>2.0174020624877101E-3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60-46F4-A1E1-1CB264392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9002648"/>
        <c:axId val="358998712"/>
      </c:barChart>
      <c:catAx>
        <c:axId val="359002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998712"/>
        <c:crosses val="autoZero"/>
        <c:auto val="1"/>
        <c:lblAlgn val="ctr"/>
        <c:lblOffset val="100"/>
        <c:noMultiLvlLbl val="0"/>
      </c:catAx>
      <c:valAx>
        <c:axId val="35899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002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8</xdr:row>
          <xdr:rowOff>6350</xdr:rowOff>
        </xdr:from>
        <xdr:to>
          <xdr:col>4</xdr:col>
          <xdr:colOff>152400</xdr:colOff>
          <xdr:row>13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7</xdr:row>
          <xdr:rowOff>152400</xdr:rowOff>
        </xdr:from>
        <xdr:to>
          <xdr:col>9</xdr:col>
          <xdr:colOff>69850</xdr:colOff>
          <xdr:row>13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HOURLY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1225550</xdr:colOff>
      <xdr:row>53</xdr:row>
      <xdr:rowOff>161925</xdr:rowOff>
    </xdr:from>
    <xdr:to>
      <xdr:col>7</xdr:col>
      <xdr:colOff>1085850</xdr:colOff>
      <xdr:row>68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1225550</xdr:colOff>
      <xdr:row>53</xdr:row>
      <xdr:rowOff>161925</xdr:rowOff>
    </xdr:from>
    <xdr:to>
      <xdr:col>7</xdr:col>
      <xdr:colOff>1085850</xdr:colOff>
      <xdr:row>68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1025524</xdr:colOff>
      <xdr:row>3</xdr:row>
      <xdr:rowOff>69850</xdr:rowOff>
    </xdr:from>
    <xdr:to>
      <xdr:col>13</xdr:col>
      <xdr:colOff>558800</xdr:colOff>
      <xdr:row>26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964.429912615742" missingItemsLimit="0" createdVersion="6" refreshedVersion="6" minRefreshableVersion="3" recordCount="267">
  <cacheSource type="worksheet">
    <worksheetSource ref="A1:O1048576" sheet="All_Scenarios"/>
  </cacheSource>
  <cacheFields count="37">
    <cacheField name="Scenario" numFmtId="0">
      <sharedItems containsBlank="1" count="3">
        <s v="Ammonia-AEC"/>
        <s v="AmmoniaFlex-AEC"/>
        <m/>
      </sharedItems>
    </cacheField>
    <cacheField name="Type of unit" numFmtId="0">
      <sharedItems containsBlank="1" count="20">
        <s v="NH3 plant + ASU - AEC"/>
        <s v="Waste water plant"/>
        <s v="Electrolyser AEC"/>
        <s v="H2 pipeline to NH3 plant"/>
        <s v="Heat from district heating"/>
        <s v="Heat sent to district heating"/>
        <s v="Sale of oxygen"/>
        <s v="H2 pipes compressor"/>
        <s v="H2 pipes valve"/>
        <s v="H2 buried pipes"/>
        <s v="OFF_SP379-HH100"/>
        <s v="OFF_SP379-HH150"/>
        <s v="OFF_SP450-HH100"/>
        <s v="OFF_SP450-HH150"/>
        <s v="Electricity from the grid"/>
        <s v="Electricity to the grid"/>
        <s v="Charge batteries"/>
        <s v="Discharge batteries"/>
        <s v="Batteries"/>
        <m/>
      </sharedItems>
    </cacheField>
    <cacheField name="Year data" numFmtId="0">
      <sharedItems containsString="0" containsBlank="1" containsNumber="1" containsInteger="1" minValue="2030" maxValue="2030"/>
    </cacheField>
    <cacheField name="Location" numFmtId="0">
      <sharedItems containsBlank="1"/>
    </cacheField>
    <cacheField name="Profile" numFmtId="0">
      <sharedItems containsString="0" containsBlank="1" containsNumber="1" containsInteger="1" minValue="2015" maxValue="2021" count="8">
        <n v="2015"/>
        <n v="2017"/>
        <n v="2018"/>
        <n v="2019"/>
        <n v="2020"/>
        <n v="2021"/>
        <n v="2016"/>
        <m/>
      </sharedItems>
    </cacheField>
    <cacheField name="Fuel" numFmtId="0">
      <sharedItems containsBlank="1" count="2">
        <s v="NH3"/>
        <m/>
      </sharedItems>
    </cacheField>
    <cacheField name="Electrolyser" numFmtId="0">
      <sharedItems containsBlank="1" count="2">
        <s v="AEC"/>
        <m/>
      </sharedItems>
    </cacheField>
    <cacheField name="CO2 capture" numFmtId="0">
      <sharedItems containsBlank="1" count="2">
        <s v="None"/>
        <m/>
      </sharedItems>
    </cacheField>
    <cacheField name="CO2 tax level upstream (Eur/kgCO2)" numFmtId="0">
      <sharedItems containsString="0" containsBlank="1" containsNumber="1" containsInteger="1" minValue="0" maxValue="0"/>
    </cacheField>
    <cacheField name="CO2 tax level operational(Eur/kgCO2)" numFmtId="0">
      <sharedItems containsString="0" containsBlank="1" containsNumber="1" containsInteger="1" minValue="0" maxValue="0"/>
    </cacheField>
    <cacheField name="Weight costs vs emissions" numFmtId="0">
      <sharedItems containsBlank="1"/>
    </cacheField>
    <cacheField name="Installed capacity(MW or t/h)" numFmtId="0">
      <sharedItems containsString="0" containsBlank="1" containsNumber="1" minValue="0" maxValue="1113.7365466259801"/>
    </cacheField>
    <cacheField name="Total investment(MEuros)" numFmtId="0">
      <sharedItems containsString="0" containsBlank="1" containsNumber="1" minValue="0" maxValue="2557.8250508025199"/>
    </cacheField>
    <cacheField name="Annualised investment(MEuros)" numFmtId="0">
      <sharedItems containsString="0" containsBlank="1" containsNumber="1" minValue="0" maxValue="227.20503431645699"/>
    </cacheField>
    <cacheField name="Fixed O&amp;M(MEuros)" numFmtId="0">
      <sharedItems containsString="0" containsBlank="1" containsNumber="1" minValue="0" maxValue="78.997965733250794"/>
    </cacheField>
    <cacheField name="Variable O&amp;M(MEuros)" numFmtId="0">
      <sharedItems containsString="0" containsBlank="1" containsNumber="1" minValue="0" maxValue="11.532872882304099"/>
    </cacheField>
    <cacheField name="CO2 tax infrastructure (MEuros)" numFmtId="0">
      <sharedItems containsString="0" containsBlank="1" containsNumber="1" containsInteger="1" minValue="0" maxValue="0"/>
    </cacheField>
    <cacheField name="CO2 tax process (MEuros)" numFmtId="0">
      <sharedItems containsString="0" containsBlank="1" containsNumber="1" containsInteger="1" minValue="0" maxValue="0"/>
    </cacheField>
    <cacheField name="Fuel cost(MEuros)" numFmtId="0">
      <sharedItems containsString="0" containsBlank="1" containsNumber="1" minValue="0" maxValue="5.6079287536539402E-2"/>
    </cacheField>
    <cacheField name="Cost per unit(MEuros)" numFmtId="0">
      <sharedItems containsString="0" containsBlank="1" containsNumber="1" minValue="0" maxValue="280.53715865945202"/>
    </cacheField>
    <cacheField name="Production(kton or GWh)" numFmtId="0">
      <sharedItems containsString="0" containsBlank="1" containsNumber="1" minValue="0" maxValue="4096.1597261705201"/>
    </cacheField>
    <cacheField name="Sale (MEuros)" numFmtId="0">
      <sharedItems containsString="0" containsBlank="1" containsNumber="1" containsInteger="1" minValue="0" maxValue="0"/>
    </cacheField>
    <cacheField name="Electricity consumption(GWh)" numFmtId="0">
      <sharedItems containsString="0" containsBlank="1" containsNumber="1" minValue="0" maxValue="3819.1432742829802"/>
    </cacheField>
    <cacheField name="Production cost fuel (Euros/kgfuel)" numFmtId="0">
      <sharedItems containsString="0" containsBlank="1" containsNumber="1" minValue="0" maxValue="1.22930679643823"/>
    </cacheField>
    <cacheField name="Production cost fuel (Euros/GJfuel)" numFmtId="0">
      <sharedItems containsString="0" containsBlank="1" containsNumber="1" minValue="0" maxValue="66.091763249367602"/>
    </cacheField>
    <cacheField name="Production cost fuel (Euros/MWhfuel)" numFmtId="0">
      <sharedItems containsString="0" containsBlank="1" containsNumber="1" minValue="0" maxValue="237.93034769772299"/>
    </cacheField>
    <cacheField name="Production cost per unit (Euros/kg or kWh output)" numFmtId="0">
      <sharedItems containsString="0" containsBlank="1" containsNumber="1" minValue="0" maxValue="1.9422919503031599"/>
    </cacheField>
    <cacheField name="Load average" numFmtId="0">
      <sharedItems containsBlank="1" containsMixedTypes="1" containsNumber="1" minValue="8.5310470752539204E-4" maxValue="0.71563820259837196"/>
    </cacheField>
    <cacheField name="Full load hours" numFmtId="0">
      <sharedItems containsBlank="1" containsMixedTypes="1" containsNumber="1" minValue="6.7267306188377098" maxValue="5642.8072274881597"/>
    </cacheField>
    <cacheField name="CO2e infrastructure (t CO2e)" numFmtId="0">
      <sharedItems containsString="0" containsBlank="1" containsNumber="1" minValue="0" maxValue="39765.417666372901"/>
    </cacheField>
    <cacheField name="CO2e process (t CO2e)" numFmtId="0">
      <sharedItems containsString="0" containsBlank="1" containsNumber="1" containsInteger="1" minValue="0" maxValue="0"/>
    </cacheField>
    <cacheField name="CO2e inf+proc per unit(t CO2e)" numFmtId="0">
      <sharedItems containsString="0" containsBlank="1" containsNumber="1" minValue="0" maxValue="39765.417666372901"/>
    </cacheField>
    <cacheField name="CO2e per unit (kgCO2e/GJfuel)" numFmtId="0">
      <sharedItems containsString="0" containsBlank="1" containsNumber="1" minValue="0" maxValue="5.0208860689865702"/>
    </cacheField>
    <cacheField name="CO2e total system (kg CO2e/GJfuel)" numFmtId="0">
      <sharedItems containsString="0" containsBlank="1" containsNumber="1" minValue="0" maxValue="5.4144665686079199"/>
    </cacheField>
    <cacheField name="Land use per unit (km2)" numFmtId="0">
      <sharedItems containsString="0" containsBlank="1" containsNumber="1" minValue="0" maxValue="191.51813655780401"/>
    </cacheField>
    <cacheField name="Land use per unit (km2/GJfuel)" numFmtId="0">
      <sharedItems containsString="0" containsBlank="1" containsNumber="1" minValue="0" maxValue="2.4181582898713101E-2"/>
    </cacheField>
    <cacheField name="Land use total system (km2/GJfuel)" numFmtId="0">
      <sharedItems containsString="0" containsBlank="1" containsNumber="1" minValue="0" maxValue="2.421417149122969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4964.443335300923" missingItemsLimit="0" createdVersion="6" refreshedVersion="6" minRefreshableVersion="3" recordCount="267">
  <cacheSource type="worksheet">
    <worksheetSource ref="A1:K1048576" sheet="All_Scenarios"/>
  </cacheSource>
  <cacheFields count="28">
    <cacheField name="Scenario" numFmtId="0">
      <sharedItems containsBlank="1" count="3">
        <s v="Ammonia-AEC"/>
        <s v="AmmoniaFlex-AEC"/>
        <m/>
      </sharedItems>
    </cacheField>
    <cacheField name="Type of unit" numFmtId="0">
      <sharedItems containsBlank="1" count="20">
        <s v="NH3 plant + ASU - AEC"/>
        <s v="Waste water plant"/>
        <s v="Electrolyser AEC"/>
        <s v="H2 pipeline to NH3 plant"/>
        <s v="Heat from district heating"/>
        <s v="Heat sent to district heating"/>
        <s v="Sale of oxygen"/>
        <s v="H2 pipes compressor"/>
        <s v="H2 pipes valve"/>
        <s v="H2 buried pipes"/>
        <s v="OFF_SP379-HH100"/>
        <s v="OFF_SP379-HH150"/>
        <s v="OFF_SP450-HH100"/>
        <s v="OFF_SP450-HH150"/>
        <s v="Electricity from the grid"/>
        <s v="Electricity to the grid"/>
        <s v="Charge batteries"/>
        <s v="Discharge batteries"/>
        <s v="Batteries"/>
        <m/>
      </sharedItems>
    </cacheField>
    <cacheField name="Year data" numFmtId="0">
      <sharedItems containsString="0" containsBlank="1" containsNumber="1" containsInteger="1" minValue="2030" maxValue="2030"/>
    </cacheField>
    <cacheField name="Location" numFmtId="0">
      <sharedItems containsBlank="1"/>
    </cacheField>
    <cacheField name="Profile" numFmtId="0">
      <sharedItems containsString="0" containsBlank="1" containsNumber="1" containsInteger="1" minValue="2015" maxValue="2021" count="8">
        <n v="2015"/>
        <n v="2017"/>
        <n v="2018"/>
        <n v="2019"/>
        <n v="2020"/>
        <n v="2021"/>
        <n v="2016"/>
        <m/>
      </sharedItems>
    </cacheField>
    <cacheField name="Fuel" numFmtId="0">
      <sharedItems containsBlank="1" count="2">
        <s v="NH3"/>
        <m/>
      </sharedItems>
    </cacheField>
    <cacheField name="Electrolyser" numFmtId="0">
      <sharedItems containsBlank="1" count="2">
        <s v="AEC"/>
        <m/>
      </sharedItems>
    </cacheField>
    <cacheField name="CO2 capture" numFmtId="0">
      <sharedItems containsBlank="1" count="2">
        <s v="None"/>
        <m/>
      </sharedItems>
    </cacheField>
    <cacheField name="CO2 tax level upstream (Eur/kgCO2)" numFmtId="0">
      <sharedItems containsString="0" containsBlank="1" containsNumber="1" containsInteger="1" minValue="0" maxValue="0"/>
    </cacheField>
    <cacheField name="CO2 tax level operational(Eur/kgCO2)" numFmtId="0">
      <sharedItems containsString="0" containsBlank="1" containsNumber="1" containsInteger="1" minValue="0" maxValue="0"/>
    </cacheField>
    <cacheField name="Weight costs vs emissions" numFmtId="0">
      <sharedItems containsBlank="1"/>
    </cacheField>
    <cacheField name="Installed capacity(MW or t/h)" numFmtId="0">
      <sharedItems containsString="0" containsBlank="1" containsNumber="1" minValue="0" maxValue="1113.7365466259801"/>
    </cacheField>
    <cacheField name="Total investment(MEuros)" numFmtId="0">
      <sharedItems containsString="0" containsBlank="1" containsNumber="1" minValue="0" maxValue="2557.8250508025199"/>
    </cacheField>
    <cacheField name="Annualised investment(MEuros)" numFmtId="0">
      <sharedItems containsString="0" containsBlank="1" containsNumber="1" minValue="0" maxValue="227.20503431645699"/>
    </cacheField>
    <cacheField name="Fixed O&amp;M(MEuros)" numFmtId="0">
      <sharedItems containsString="0" containsBlank="1" containsNumber="1" minValue="0" maxValue="78.997965733250794"/>
    </cacheField>
    <cacheField name="Variable O&amp;M(MEuros)" numFmtId="0">
      <sharedItems containsString="0" containsBlank="1" containsNumber="1" minValue="0" maxValue="11.532872882304099"/>
    </cacheField>
    <cacheField name="CO2 tax infrastructure (MEuros)" numFmtId="0">
      <sharedItems containsString="0" containsBlank="1" containsNumber="1" containsInteger="1" minValue="0" maxValue="0"/>
    </cacheField>
    <cacheField name="CO2 tax process (MEuros)" numFmtId="0">
      <sharedItems containsString="0" containsBlank="1" containsNumber="1" containsInteger="1" minValue="0" maxValue="0"/>
    </cacheField>
    <cacheField name="Fuel cost(MEuros)" numFmtId="0">
      <sharedItems containsString="0" containsBlank="1" containsNumber="1" minValue="0" maxValue="5.6079287536539402E-2"/>
    </cacheField>
    <cacheField name="Cost per unit(MEuros)" numFmtId="0">
      <sharedItems containsString="0" containsBlank="1" containsNumber="1" minValue="0" maxValue="280.53715865945202"/>
    </cacheField>
    <cacheField name="Production(kton or GWh)" numFmtId="0">
      <sharedItems containsString="0" containsBlank="1" containsNumber="1" minValue="0" maxValue="4096.1597261705201"/>
    </cacheField>
    <cacheField name="Sale (MEuros)" numFmtId="0">
      <sharedItems containsString="0" containsBlank="1" containsNumber="1" containsInteger="1" minValue="0" maxValue="0"/>
    </cacheField>
    <cacheField name="Electricity consumption(GWh)" numFmtId="0">
      <sharedItems containsString="0" containsBlank="1" containsNumber="1" minValue="0" maxValue="3819.1432742829802"/>
    </cacheField>
    <cacheField name="Production cost fuel (Euros/kgfuel)" numFmtId="0">
      <sharedItems containsString="0" containsBlank="1" containsNumber="1" minValue="0" maxValue="1.22930679643823"/>
    </cacheField>
    <cacheField name="Production cost fuel (Euros/GJfuel)" numFmtId="0">
      <sharedItems containsString="0" containsBlank="1" containsNumber="1" minValue="0" maxValue="66.091763249367602"/>
    </cacheField>
    <cacheField name="Production cost fuel (Euros/MWhfuel)" numFmtId="0">
      <sharedItems containsString="0" containsBlank="1" containsNumber="1" minValue="0" maxValue="237.93034769772299"/>
    </cacheField>
    <cacheField name="Production cost per unit (Euros/kg or kWh output)" numFmtId="0">
      <sharedItems containsString="0" containsBlank="1" containsNumber="1" minValue="0" maxValue="1.9422919503031599"/>
    </cacheField>
    <cacheField name="Load average" numFmtId="0">
      <sharedItems containsBlank="1" containsMixedTypes="1" containsNumber="1" minValue="8.5310470752539204E-4" maxValue="0.715638202598371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7">
  <r>
    <x v="0"/>
    <x v="0"/>
    <n v="2030"/>
    <s v="Bornholm"/>
    <x v="0"/>
    <x v="0"/>
    <x v="0"/>
    <x v="0"/>
    <n v="0"/>
    <n v="0"/>
    <s v="C1.0_E0.0"/>
    <n v="85.175352370948104"/>
    <n v="567.45182555163501"/>
    <n v="50.216975712534101"/>
    <n v="22.698073022065401"/>
    <n v="0"/>
    <n v="0"/>
    <n v="0"/>
    <n v="0"/>
    <n v="72.915048734599495"/>
    <n v="425.80645161289902"/>
    <n v="0"/>
    <n v="191.61290322578199"/>
    <n v="1.0288387765328399"/>
    <n v="55.313912716819402"/>
    <n v="199.13008578054999"/>
    <n v="0.17123988717974201"/>
    <n v="0.63401071954547195"/>
    <n v="4999.1745236160396"/>
    <n v="1290.42793072777"/>
    <n v="0"/>
    <n v="1290.42793072777"/>
    <n v="0.16293281953633601"/>
    <n v="4.4746516888611501"/>
    <n v="0"/>
    <n v="0"/>
    <n v="1.99186344684667E-2"/>
  </r>
  <r>
    <x v="0"/>
    <x v="1"/>
    <n v="2030"/>
    <s v="Bornholm"/>
    <x v="0"/>
    <x v="0"/>
    <x v="0"/>
    <x v="0"/>
    <n v="0"/>
    <n v="0"/>
    <s v="C1.0_E0.0"/>
    <n v="184.685185489849"/>
    <n v="22.345644197603001"/>
    <n v="2.6106314429081801"/>
    <n v="0.67036932592809095"/>
    <n v="0"/>
    <n v="0"/>
    <n v="0"/>
    <n v="5.60543184460549E-2"/>
    <n v="3.3370550872823199"/>
    <n v="862.37412993933697"/>
    <n v="0"/>
    <n v="2.1559353248481101"/>
    <n v="0"/>
    <n v="0"/>
    <n v="0"/>
    <n v="3.8696140937310602E-3"/>
    <n v="0.59219121736362401"/>
    <n v="4669.4277489121696"/>
    <n v="0"/>
    <n v="0"/>
    <n v="0"/>
    <n v="0"/>
    <n v="0"/>
    <n v="0"/>
    <n v="0"/>
    <n v="0"/>
  </r>
  <r>
    <x v="0"/>
    <x v="2"/>
    <n v="2030"/>
    <s v="Bornholm"/>
    <x v="0"/>
    <x v="0"/>
    <x v="0"/>
    <x v="0"/>
    <n v="0"/>
    <n v="0"/>
    <s v="C1.0_E0.0"/>
    <n v="16.416460932431001"/>
    <n v="654.03180354805397"/>
    <n v="57.878920667969297"/>
    <n v="65.4031803548054"/>
    <n v="0"/>
    <n v="0"/>
    <n v="0"/>
    <n v="0"/>
    <n v="123.282101022774"/>
    <n v="76.655478216829593"/>
    <n v="0"/>
    <n v="3817.4428151982302"/>
    <n v="0"/>
    <n v="0"/>
    <n v="0"/>
    <n v="1.60826210847"/>
    <n v="0.59219121736362401"/>
    <n v="4669.4277489121696"/>
    <n v="1263.76375678196"/>
    <n v="0"/>
    <n v="1263.76375678196"/>
    <n v="0.15956613090681501"/>
    <n v="0"/>
    <n v="7.7649860210398996E-3"/>
    <n v="9.8042752790908592E-7"/>
    <n v="0"/>
  </r>
  <r>
    <x v="0"/>
    <x v="3"/>
    <n v="2030"/>
    <s v="Bornholm"/>
    <x v="0"/>
    <x v="0"/>
    <x v="0"/>
    <x v="0"/>
    <n v="0"/>
    <n v="0"/>
    <s v="C1.0_E0.0"/>
    <n v="15.3315634267706"/>
    <n v="0"/>
    <n v="0"/>
    <n v="0"/>
    <n v="0"/>
    <n v="0"/>
    <n v="0"/>
    <n v="0"/>
    <n v="0"/>
    <n v="76.645161290319905"/>
    <n v="0"/>
    <n v="0"/>
    <n v="0"/>
    <n v="0"/>
    <n v="0"/>
    <n v="0"/>
    <n v="0.63401071954547195"/>
    <n v="4999.1745236160396"/>
    <n v="0"/>
    <n v="0"/>
    <n v="0"/>
    <n v="0"/>
    <n v="0"/>
    <n v="0"/>
    <n v="0"/>
    <n v="0"/>
  </r>
  <r>
    <x v="0"/>
    <x v="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5"/>
    <n v="2030"/>
    <s v="Bornholm"/>
    <x v="0"/>
    <x v="0"/>
    <x v="0"/>
    <x v="0"/>
    <n v="0"/>
    <n v="0"/>
    <s v="C1.0_E0.0"/>
    <n v="93.179832252478803"/>
    <n v="0"/>
    <n v="0"/>
    <n v="0"/>
    <n v="0"/>
    <n v="0"/>
    <n v="0"/>
    <n v="0"/>
    <n v="0"/>
    <n v="435.09649435872598"/>
    <n v="0"/>
    <n v="0"/>
    <n v="0"/>
    <n v="0"/>
    <n v="0"/>
    <n v="0"/>
    <n v="0.59219121736362401"/>
    <n v="4669.4277489121696"/>
    <n v="0"/>
    <n v="0"/>
    <n v="0"/>
    <n v="0"/>
    <n v="0"/>
    <n v="0"/>
    <n v="0"/>
    <n v="0"/>
  </r>
  <r>
    <x v="0"/>
    <x v="6"/>
    <n v="2030"/>
    <s v="Bornholm"/>
    <x v="0"/>
    <x v="0"/>
    <x v="0"/>
    <x v="0"/>
    <n v="0"/>
    <n v="0"/>
    <s v="C1.0_E0.0"/>
    <n v="127.391736835665"/>
    <n v="0"/>
    <n v="0"/>
    <n v="0"/>
    <n v="0"/>
    <n v="0"/>
    <n v="0"/>
    <n v="0"/>
    <n v="0"/>
    <n v="594.84651096257505"/>
    <n v="0"/>
    <n v="0"/>
    <n v="0"/>
    <n v="0"/>
    <n v="0"/>
    <n v="0"/>
    <n v="0.59219121736362401"/>
    <n v="4669.4277489121696"/>
    <n v="0"/>
    <n v="0"/>
    <n v="0"/>
    <n v="0"/>
    <n v="0"/>
    <n v="0"/>
    <n v="0"/>
    <n v="0"/>
  </r>
  <r>
    <x v="0"/>
    <x v="7"/>
    <n v="2030"/>
    <s v="Bornholm"/>
    <x v="0"/>
    <x v="0"/>
    <x v="0"/>
    <x v="0"/>
    <n v="0"/>
    <n v="0"/>
    <s v="C1.0_E0.0"/>
    <n v="885.64665701728097"/>
    <n v="0"/>
    <n v="0"/>
    <n v="0"/>
    <n v="0"/>
    <n v="0"/>
    <n v="0"/>
    <n v="0"/>
    <n v="0"/>
    <n v="12.611806355358199"/>
    <n v="0"/>
    <n v="11.8550979740365"/>
    <n v="0"/>
    <n v="0"/>
    <n v="0"/>
    <n v="0"/>
    <n v="1.8059890322956801E-3"/>
    <n v="14.2402235196514"/>
    <n v="0"/>
    <n v="0"/>
    <n v="0"/>
    <n v="0"/>
    <n v="0"/>
    <n v="0"/>
    <n v="0"/>
    <n v="0"/>
  </r>
  <r>
    <x v="0"/>
    <x v="8"/>
    <n v="2030"/>
    <s v="Bornholm"/>
    <x v="0"/>
    <x v="0"/>
    <x v="0"/>
    <x v="0"/>
    <n v="0"/>
    <n v="0"/>
    <s v="C1.0_E0.0"/>
    <n v="900.978220444052"/>
    <n v="0"/>
    <n v="0"/>
    <n v="0"/>
    <n v="0"/>
    <n v="0"/>
    <n v="0"/>
    <n v="0"/>
    <n v="0"/>
    <n v="12.6014894288476"/>
    <n v="0"/>
    <n v="0"/>
    <n v="0"/>
    <n v="0"/>
    <n v="0"/>
    <n v="0"/>
    <n v="1.7738050580846799E-3"/>
    <n v="13.9864528829977"/>
    <n v="0"/>
    <n v="0"/>
    <n v="0"/>
    <n v="0"/>
    <n v="0"/>
    <n v="0"/>
    <n v="0"/>
    <n v="0"/>
  </r>
  <r>
    <x v="0"/>
    <x v="9"/>
    <n v="2030"/>
    <s v="Bornholm"/>
    <x v="0"/>
    <x v="0"/>
    <x v="0"/>
    <x v="0"/>
    <n v="0"/>
    <n v="0"/>
    <s v="C1.0_E0.0"/>
    <n v="114.63251678103499"/>
    <n v="28.658129195258802"/>
    <n v="2.3425973899852899"/>
    <n v="0.85974387585776402"/>
    <n v="0"/>
    <n v="0"/>
    <n v="0"/>
    <n v="0"/>
    <n v="3.2023412658430601"/>
    <n v="519.07604745899403"/>
    <n v="0"/>
    <n v="0"/>
    <n v="0"/>
    <n v="0"/>
    <n v="0"/>
    <n v="6.1693104151488197E-3"/>
    <n v="0.57427705398390905"/>
    <n v="4528.17457066312"/>
    <n v="0.47604493069776799"/>
    <n v="0"/>
    <n v="0.47604493069776799"/>
    <n v="6.0106683168910701E-5"/>
    <n v="0"/>
    <n v="0.114632516781035"/>
    <n v="1.44738026238682E-5"/>
    <n v="0"/>
  </r>
  <r>
    <x v="0"/>
    <x v="10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1"/>
    <n v="2030"/>
    <s v="Bornholm"/>
    <x v="0"/>
    <x v="0"/>
    <x v="0"/>
    <x v="0"/>
    <n v="0"/>
    <n v="0"/>
    <s v="C1.0_E0.0"/>
    <n v="887.81644832931499"/>
    <n v="2038.97336307296"/>
    <n v="181.116770586786"/>
    <n v="33.378087833569801"/>
    <n v="11.0331421628968"/>
    <n v="0"/>
    <n v="0"/>
    <n v="0"/>
    <n v="225.52800058325201"/>
    <n v="3918.6690984963402"/>
    <n v="0"/>
    <n v="0"/>
    <n v="0"/>
    <n v="0"/>
    <n v="0"/>
    <n v="5.75521930825421E-2"/>
    <n v="0.559775269499029"/>
    <n v="4413.8279999998404"/>
    <n v="31699.0512575385"/>
    <n v="0"/>
    <n v="31699.0512575385"/>
    <n v="4.0024054618104499"/>
    <n v="0"/>
    <n v="152.66891645470901"/>
    <n v="1.9276378340241099E-2"/>
    <n v="0"/>
  </r>
  <r>
    <x v="0"/>
    <x v="12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3"/>
    <n v="2030"/>
    <s v="Bornholm"/>
    <x v="0"/>
    <x v="0"/>
    <x v="0"/>
    <x v="0"/>
    <n v="0"/>
    <n v="0"/>
    <s v="C1.0_E0.0"/>
    <n v="28.853831842444201"/>
    <n v="59.231189255469502"/>
    <n v="5.2613545180391403"/>
    <n v="1.08478023287863"/>
    <n v="0.33940514954649098"/>
    <n v="0"/>
    <n v="0"/>
    <n v="0"/>
    <n v="6.6855399004642697"/>
    <n v="120.547388201987"/>
    <n v="0"/>
    <n v="0"/>
    <n v="0"/>
    <n v="0"/>
    <n v="0"/>
    <n v="5.54598486137425E-2"/>
    <n v="0.52984960050727603"/>
    <n v="4177.8640999998697"/>
    <n v="1030.21192755687"/>
    <n v="0"/>
    <n v="1030.21192755687"/>
    <n v="0.13007726358041299"/>
    <n v="0"/>
    <n v="4.9617049236267103"/>
    <n v="6.2647789439731702E-4"/>
    <n v="0"/>
  </r>
  <r>
    <x v="0"/>
    <x v="1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5"/>
    <n v="2030"/>
    <s v="Bornholm"/>
    <x v="0"/>
    <x v="0"/>
    <x v="0"/>
    <x v="0"/>
    <n v="0"/>
    <n v="0"/>
    <s v="C1.0_E0.0"/>
    <n v="815.86863703556105"/>
    <n v="0"/>
    <n v="0"/>
    <n v="0"/>
    <n v="0"/>
    <n v="0"/>
    <n v="0"/>
    <n v="0"/>
    <n v="0"/>
    <n v="14.9660571671211"/>
    <n v="0"/>
    <n v="0"/>
    <n v="0"/>
    <n v="0"/>
    <n v="0"/>
    <n v="0"/>
    <n v="2.3264057547782001E-3"/>
    <n v="18.343709376426101"/>
    <n v="0"/>
    <n v="0"/>
    <n v="0"/>
    <n v="0"/>
    <n v="0"/>
    <n v="0"/>
    <n v="0"/>
    <n v="0"/>
  </r>
  <r>
    <x v="0"/>
    <x v="16"/>
    <n v="2030"/>
    <s v="Bornholm"/>
    <x v="0"/>
    <x v="0"/>
    <x v="0"/>
    <x v="0"/>
    <n v="0"/>
    <n v="0"/>
    <s v="C1.0_E0.0"/>
    <n v="65.209124834864596"/>
    <n v="0"/>
    <n v="0"/>
    <n v="0"/>
    <n v="2.2217892873062299E-2"/>
    <n v="0"/>
    <n v="0"/>
    <n v="0"/>
    <n v="2.2217892873062299E-2"/>
    <n v="11.8367780841472"/>
    <n v="0"/>
    <n v="0.59183890420736796"/>
    <n v="0"/>
    <n v="0"/>
    <n v="0"/>
    <n v="1.8770219999999999E-3"/>
    <n v="2.30209603184575E-2"/>
    <n v="181.520272111038"/>
    <n v="0"/>
    <n v="0"/>
    <n v="0"/>
    <n v="0"/>
    <n v="0"/>
    <n v="0"/>
    <n v="0"/>
    <n v="0"/>
  </r>
  <r>
    <x v="0"/>
    <x v="17"/>
    <n v="2030"/>
    <s v="Bornholm"/>
    <x v="0"/>
    <x v="0"/>
    <x v="0"/>
    <x v="0"/>
    <n v="0"/>
    <n v="0"/>
    <s v="C1.0_E0.0"/>
    <n v="148.04475677727399"/>
    <n v="0"/>
    <n v="0"/>
    <n v="0"/>
    <n v="0"/>
    <n v="0"/>
    <n v="0"/>
    <n v="0"/>
    <n v="0"/>
    <n v="11.8367780841473"/>
    <n v="0"/>
    <n v="0.59183890420737395"/>
    <n v="0"/>
    <n v="0"/>
    <n v="0"/>
    <n v="0"/>
    <n v="1.01400191935416E-2"/>
    <n v="79.954051341076095"/>
    <n v="0"/>
    <n v="0"/>
    <n v="0"/>
    <n v="0"/>
    <n v="0"/>
    <n v="0"/>
    <n v="0"/>
    <n v="0"/>
  </r>
  <r>
    <x v="0"/>
    <x v="18"/>
    <n v="2030"/>
    <s v="Bornholm"/>
    <x v="0"/>
    <x v="0"/>
    <x v="0"/>
    <x v="0"/>
    <n v="0"/>
    <n v="0"/>
    <s v="C1.0_E0.0"/>
    <n v="148.04475677727399"/>
    <n v="26.6480562199093"/>
    <n v="2.71416338684126"/>
    <n v="0.39972084329863999"/>
    <n v="0"/>
    <n v="0"/>
    <n v="0"/>
    <n v="0"/>
    <n v="3.1138842301399001"/>
    <n v="615.36813390609598"/>
    <n v="0"/>
    <n v="0"/>
    <n v="0"/>
    <n v="0"/>
    <n v="0"/>
    <n v="5.06019739822127E-3"/>
    <n v="0.52715736026668103"/>
    <n v="4156.6357857027797"/>
    <n v="155.31045824422699"/>
    <n v="0"/>
    <n v="155.31045824422699"/>
    <n v="1.9609906343968201E-2"/>
    <n v="0"/>
    <n v="2.5661091174727499E-3"/>
    <n v="3.2400367644858201E-7"/>
    <n v="0"/>
  </r>
  <r>
    <x v="1"/>
    <x v="0"/>
    <n v="2030"/>
    <s v="Bornholm"/>
    <x v="1"/>
    <x v="0"/>
    <x v="0"/>
    <x v="0"/>
    <n v="0"/>
    <n v="0"/>
    <s v="C1.0_E0.0"/>
    <n v="85.342854176083307"/>
    <n v="568.56774937773503"/>
    <n v="50.315730033427897"/>
    <n v="22.742709975109399"/>
    <n v="0"/>
    <n v="0"/>
    <n v="0"/>
    <n v="0"/>
    <n v="73.058440008537303"/>
    <n v="425.80645161291397"/>
    <n v="0"/>
    <n v="191.612903225812"/>
    <n v="1.0645768397108299"/>
    <n v="57.235313962947799"/>
    <n v="206.04713026661199"/>
    <n v="0.17157663941398399"/>
    <n v="0.63276635127327097"/>
    <n v="4989.3626797897396"/>
    <n v="1292.9656250463399"/>
    <n v="0"/>
    <n v="1292.9656250463399"/>
    <n v="0.16325323548564399"/>
    <n v="4.6394620855130597"/>
    <n v="0"/>
    <n v="0"/>
    <n v="2.0769743356513898E-2"/>
  </r>
  <r>
    <x v="1"/>
    <x v="1"/>
    <n v="2030"/>
    <s v="Bornholm"/>
    <x v="1"/>
    <x v="0"/>
    <x v="0"/>
    <x v="0"/>
    <n v="0"/>
    <n v="0"/>
    <s v="C1.0_E0.0"/>
    <n v="194.60926039629399"/>
    <n v="23.546389380610499"/>
    <n v="2.75091395622306"/>
    <n v="0.70639168141831599"/>
    <n v="0"/>
    <n v="0"/>
    <n v="0"/>
    <n v="5.6057517223555897E-2"/>
    <n v="3.5133631548649298"/>
    <n v="862.42334190080703"/>
    <n v="0"/>
    <n v="2.1560583547520702"/>
    <n v="0"/>
    <n v="0"/>
    <n v="0"/>
    <n v="4.0738266048335097E-3"/>
    <n v="0.56202457074323198"/>
    <n v="4431.5637403103801"/>
    <n v="0"/>
    <n v="0"/>
    <n v="0"/>
    <n v="0"/>
    <n v="0"/>
    <n v="0"/>
    <n v="0"/>
    <n v="0"/>
  </r>
  <r>
    <x v="1"/>
    <x v="2"/>
    <n v="2030"/>
    <s v="Bornholm"/>
    <x v="1"/>
    <x v="0"/>
    <x v="0"/>
    <x v="0"/>
    <n v="0"/>
    <n v="0"/>
    <s v="C1.0_E0.0"/>
    <n v="17.298600924115"/>
    <n v="689.17626081674496"/>
    <n v="60.989049629800398"/>
    <n v="68.917626081674499"/>
    <n v="0"/>
    <n v="0"/>
    <n v="0"/>
    <n v="0"/>
    <n v="129.90667571147401"/>
    <n v="76.659852613407594"/>
    <n v="0"/>
    <n v="3817.6606601476701"/>
    <n v="0"/>
    <n v="0"/>
    <n v="0"/>
    <n v="1.6945855135749901"/>
    <n v="0.56202457074323198"/>
    <n v="4431.5637403103801"/>
    <n v="1331.6722149135101"/>
    <n v="0"/>
    <n v="1331.6722149135101"/>
    <n v="0.16814043117594399"/>
    <n v="0"/>
    <n v="8.1822382371064296E-3"/>
    <n v="1.03311088852351E-6"/>
    <n v="0"/>
  </r>
  <r>
    <x v="1"/>
    <x v="3"/>
    <n v="2030"/>
    <s v="Bornholm"/>
    <x v="1"/>
    <x v="0"/>
    <x v="0"/>
    <x v="0"/>
    <n v="0"/>
    <n v="0"/>
    <s v="C1.0_E0.0"/>
    <n v="15.361713751695"/>
    <n v="0"/>
    <n v="0"/>
    <n v="0"/>
    <n v="0"/>
    <n v="0"/>
    <n v="0"/>
    <n v="0"/>
    <n v="0"/>
    <n v="76.645161290318796"/>
    <n v="0"/>
    <n v="0"/>
    <n v="0"/>
    <n v="0"/>
    <n v="0"/>
    <n v="0"/>
    <n v="0.63276635127327097"/>
    <n v="4989.3626797897396"/>
    <n v="0"/>
    <n v="0"/>
    <n v="0"/>
    <n v="0"/>
    <n v="0"/>
    <n v="0"/>
    <n v="0"/>
    <n v="0"/>
  </r>
  <r>
    <x v="1"/>
    <x v="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5"/>
    <n v="2030"/>
    <s v="Bornholm"/>
    <x v="1"/>
    <x v="0"/>
    <x v="0"/>
    <x v="0"/>
    <n v="0"/>
    <n v="0"/>
    <s v="C1.0_E0.0"/>
    <n v="98.1868588452772"/>
    <n v="0"/>
    <n v="0"/>
    <n v="0"/>
    <n v="0"/>
    <n v="0"/>
    <n v="0"/>
    <n v="0"/>
    <n v="0"/>
    <n v="435.12132343371599"/>
    <n v="0"/>
    <n v="0"/>
    <n v="0"/>
    <n v="0"/>
    <n v="0"/>
    <n v="0"/>
    <n v="0.56202457074323198"/>
    <n v="4431.5637403103801"/>
    <n v="0"/>
    <n v="0"/>
    <n v="0"/>
    <n v="0"/>
    <n v="0"/>
    <n v="0"/>
    <n v="0"/>
    <n v="0"/>
  </r>
  <r>
    <x v="1"/>
    <x v="6"/>
    <n v="2030"/>
    <s v="Bornholm"/>
    <x v="1"/>
    <x v="0"/>
    <x v="0"/>
    <x v="0"/>
    <n v="0"/>
    <n v="0"/>
    <s v="C1.0_E0.0"/>
    <n v="134.237143171133"/>
    <n v="0"/>
    <n v="0"/>
    <n v="0"/>
    <n v="0"/>
    <n v="0"/>
    <n v="0"/>
    <n v="0"/>
    <n v="0"/>
    <n v="594.88045628006103"/>
    <n v="0"/>
    <n v="0"/>
    <n v="0"/>
    <n v="0"/>
    <n v="0"/>
    <n v="0"/>
    <n v="0.56202457074323198"/>
    <n v="4431.5637403103801"/>
    <n v="0"/>
    <n v="0"/>
    <n v="0"/>
    <n v="0"/>
    <n v="0"/>
    <n v="0"/>
    <n v="0"/>
    <n v="0"/>
  </r>
  <r>
    <x v="1"/>
    <x v="7"/>
    <n v="2030"/>
    <s v="Bornholm"/>
    <x v="1"/>
    <x v="0"/>
    <x v="0"/>
    <x v="0"/>
    <n v="0"/>
    <n v="0"/>
    <s v="C1.0_E0.0"/>
    <n v="924.91017251162805"/>
    <n v="0"/>
    <n v="0"/>
    <n v="0"/>
    <n v="0"/>
    <n v="0"/>
    <n v="0"/>
    <n v="0"/>
    <n v="0"/>
    <n v="16.698241997130101"/>
    <n v="0"/>
    <n v="15.696347477302"/>
    <n v="0"/>
    <n v="0"/>
    <n v="0"/>
    <n v="0"/>
    <n v="2.2896520912753398E-3"/>
    <n v="18.053906739706001"/>
    <n v="0"/>
    <n v="0"/>
    <n v="0"/>
    <n v="0"/>
    <n v="0"/>
    <n v="0"/>
    <n v="0"/>
    <n v="0"/>
  </r>
  <r>
    <x v="1"/>
    <x v="8"/>
    <n v="2030"/>
    <s v="Bornholm"/>
    <x v="1"/>
    <x v="0"/>
    <x v="0"/>
    <x v="0"/>
    <n v="0"/>
    <n v="0"/>
    <s v="C1.0_E0.0"/>
    <n v="940.27188626332304"/>
    <n v="0"/>
    <n v="0"/>
    <n v="0"/>
    <n v="0"/>
    <n v="0"/>
    <n v="0"/>
    <n v="0"/>
    <n v="0"/>
    <n v="16.6835506740418"/>
    <n v="0"/>
    <n v="0"/>
    <n v="0"/>
    <n v="0"/>
    <n v="0"/>
    <n v="0"/>
    <n v="2.2502632938135999E-3"/>
    <n v="17.743326071720201"/>
    <n v="0"/>
    <n v="0"/>
    <n v="0"/>
    <n v="0"/>
    <n v="0"/>
    <n v="0"/>
    <n v="0"/>
    <n v="0"/>
  </r>
  <r>
    <x v="1"/>
    <x v="9"/>
    <n v="2030"/>
    <s v="Bornholm"/>
    <x v="1"/>
    <x v="0"/>
    <x v="0"/>
    <x v="0"/>
    <n v="0"/>
    <n v="0"/>
    <s v="C1.0_E0.0"/>
    <n v="163.236923202496"/>
    <n v="40.809230800624"/>
    <n v="3.3358631650200401"/>
    <n v="1.2242769240187199"/>
    <n v="0"/>
    <n v="0"/>
    <n v="0"/>
    <n v="0"/>
    <n v="4.56014008903876"/>
    <n v="694.90388314107201"/>
    <n v="0"/>
    <n v="0"/>
    <n v="0"/>
    <n v="0"/>
    <n v="0"/>
    <n v="6.5622601911882001E-3"/>
    <n v="0.53988920083986203"/>
    <n v="4257.0263486223103"/>
    <n v="0.67788889204694802"/>
    <n v="0"/>
    <n v="0.67788889204694802"/>
    <n v="8.5592031824107399E-5"/>
    <n v="0"/>
    <n v="0.163236923202496"/>
    <n v="2.0610722626577199E-5"/>
    <n v="0"/>
  </r>
  <r>
    <x v="1"/>
    <x v="10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1"/>
    <n v="2030"/>
    <s v="Bornholm"/>
    <x v="1"/>
    <x v="0"/>
    <x v="0"/>
    <x v="0"/>
    <n v="0"/>
    <n v="0"/>
    <s v="C1.0_E0.0"/>
    <n v="955.59983846333398"/>
    <n v="2194.64577396614"/>
    <n v="194.944751295636"/>
    <n v="35.926452367486696"/>
    <n v="11.393863959494"/>
    <n v="0"/>
    <n v="0"/>
    <n v="0"/>
    <n v="242.26506762261701"/>
    <n v="4046.7875743221398"/>
    <n v="0"/>
    <n v="0"/>
    <n v="0"/>
    <n v="0"/>
    <n v="0"/>
    <n v="5.9866020435529799E-2"/>
    <n v="0.53707216233352595"/>
    <n v="4234.8139999998502"/>
    <n v="34119.223988412501"/>
    <n v="0"/>
    <n v="34119.223988412501"/>
    <n v="4.3079828268196501"/>
    <n v="0"/>
    <n v="164.324948222155"/>
    <n v="2.07480995229988E-2"/>
    <n v="0"/>
  </r>
  <r>
    <x v="1"/>
    <x v="12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3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5"/>
    <n v="2030"/>
    <s v="Bornholm"/>
    <x v="1"/>
    <x v="0"/>
    <x v="0"/>
    <x v="0"/>
    <n v="0"/>
    <n v="0"/>
    <s v="C1.0_E0.0"/>
    <n v="490.01599368022801"/>
    <n v="0"/>
    <n v="0"/>
    <n v="0"/>
    <n v="0"/>
    <n v="0"/>
    <n v="0"/>
    <n v="0"/>
    <n v="0"/>
    <n v="19.661605116565902"/>
    <n v="0"/>
    <n v="0"/>
    <n v="0"/>
    <n v="0"/>
    <n v="0"/>
    <n v="0"/>
    <n v="5.0887019733934797E-3"/>
    <n v="40.124415060207603"/>
    <n v="0"/>
    <n v="0"/>
    <n v="0"/>
    <n v="0"/>
    <n v="0"/>
    <n v="0"/>
    <n v="0"/>
    <n v="0"/>
  </r>
  <r>
    <x v="1"/>
    <x v="16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7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8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0"/>
    <n v="2030"/>
    <s v="Bornholm"/>
    <x v="2"/>
    <x v="0"/>
    <x v="0"/>
    <x v="0"/>
    <n v="0"/>
    <n v="0"/>
    <s v="C1.0_E0.0"/>
    <n v="94.543189332053501"/>
    <n v="629.86185424043299"/>
    <n v="55.739987100923301"/>
    <n v="25.194474169617301"/>
    <n v="0"/>
    <n v="0"/>
    <n v="0"/>
    <n v="0"/>
    <n v="80.934461270540595"/>
    <n v="425.80645161289402"/>
    <n v="0"/>
    <n v="191.61290322577599"/>
    <n v="1.2219433018860399"/>
    <n v="65.695876445486405"/>
    <n v="236.505155203751"/>
    <n v="0.19007335601415201"/>
    <n v="0.57118959943882097"/>
    <n v="4503.8299915751004"/>
    <n v="1432.3530079786101"/>
    <n v="0"/>
    <n v="1432.3530079786101"/>
    <n v="0.180852652522555"/>
    <n v="5.3848980375785196"/>
    <n v="0"/>
    <n v="0"/>
    <n v="2.41652450807152E-2"/>
  </r>
  <r>
    <x v="1"/>
    <x v="1"/>
    <n v="2030"/>
    <s v="Bornholm"/>
    <x v="2"/>
    <x v="0"/>
    <x v="0"/>
    <x v="0"/>
    <n v="0"/>
    <n v="0"/>
    <s v="C1.0_E0.0"/>
    <n v="223.07407492446501"/>
    <n v="26.990437239187798"/>
    <n v="3.15328050027852"/>
    <n v="0.80971311717563599"/>
    <n v="0"/>
    <n v="0"/>
    <n v="0"/>
    <n v="5.6061980596400801E-2"/>
    <n v="4.01905559805056"/>
    <n v="862.49200917539201"/>
    <n v="0"/>
    <n v="2.1562300229384599"/>
    <n v="0"/>
    <n v="0"/>
    <n v="0"/>
    <n v="4.6598177783618898E-3"/>
    <n v="0.490347857182866"/>
    <n v="3866.3928538869"/>
    <n v="0"/>
    <n v="0"/>
    <n v="0"/>
    <n v="0"/>
    <n v="0"/>
    <n v="0"/>
    <n v="0"/>
    <n v="0"/>
  </r>
  <r>
    <x v="1"/>
    <x v="2"/>
    <n v="2030"/>
    <s v="Bornholm"/>
    <x v="2"/>
    <x v="0"/>
    <x v="0"/>
    <x v="0"/>
    <n v="0"/>
    <n v="0"/>
    <s v="C1.0_E0.0"/>
    <n v="19.828806659952502"/>
    <n v="789.97965733250805"/>
    <n v="69.909704188717498"/>
    <n v="78.997965733250794"/>
    <n v="0"/>
    <n v="0"/>
    <n v="0"/>
    <n v="0"/>
    <n v="148.90766992196799"/>
    <n v="76.665956371144702"/>
    <n v="0"/>
    <n v="3817.9646272834002"/>
    <n v="0"/>
    <n v="0"/>
    <n v="0"/>
    <n v="1.9422919503031599"/>
    <n v="0.490347857182866"/>
    <n v="3866.3928538869"/>
    <n v="1526.4512430678899"/>
    <n v="0"/>
    <n v="1526.4512430678899"/>
    <n v="0.19273374281160599"/>
    <n v="0"/>
    <n v="9.3790255501575402E-3"/>
    <n v="1.1842203977471801E-6"/>
    <n v="0"/>
  </r>
  <r>
    <x v="1"/>
    <x v="3"/>
    <n v="2030"/>
    <s v="Bornholm"/>
    <x v="2"/>
    <x v="0"/>
    <x v="0"/>
    <x v="0"/>
    <n v="0"/>
    <n v="0"/>
    <s v="C1.0_E0.0"/>
    <n v="17.017774079769602"/>
    <n v="0"/>
    <n v="0"/>
    <n v="0"/>
    <n v="0"/>
    <n v="0"/>
    <n v="0"/>
    <n v="0"/>
    <n v="0"/>
    <n v="76.645161290316594"/>
    <n v="0"/>
    <n v="0"/>
    <n v="0"/>
    <n v="0"/>
    <n v="0"/>
    <n v="0"/>
    <n v="0.57118959943882097"/>
    <n v="4503.8299915751004"/>
    <n v="0"/>
    <n v="0"/>
    <n v="0"/>
    <n v="0"/>
    <n v="0"/>
    <n v="0"/>
    <n v="0"/>
    <n v="0"/>
  </r>
  <r>
    <x v="1"/>
    <x v="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5"/>
    <n v="2030"/>
    <s v="Bornholm"/>
    <x v="2"/>
    <x v="0"/>
    <x v="0"/>
    <x v="0"/>
    <n v="0"/>
    <n v="0"/>
    <s v="C1.0_E0.0"/>
    <n v="112.54830660189"/>
    <n v="0"/>
    <n v="0"/>
    <n v="0"/>
    <n v="0"/>
    <n v="0"/>
    <n v="0"/>
    <n v="0"/>
    <n v="0"/>
    <n v="435.15596836261398"/>
    <n v="0"/>
    <n v="0"/>
    <n v="0"/>
    <n v="0"/>
    <n v="0"/>
    <n v="0"/>
    <n v="0.490347857182866"/>
    <n v="3866.3928538869"/>
    <n v="0"/>
    <n v="0"/>
    <n v="0"/>
    <n v="0"/>
    <n v="0"/>
    <n v="0"/>
    <n v="0"/>
    <n v="0"/>
  </r>
  <r>
    <x v="1"/>
    <x v="6"/>
    <n v="2030"/>
    <s v="Bornholm"/>
    <x v="2"/>
    <x v="0"/>
    <x v="0"/>
    <x v="0"/>
    <n v="0"/>
    <n v="0"/>
    <s v="C1.0_E0.0"/>
    <n v="153.87153968123101"/>
    <n v="0"/>
    <n v="0"/>
    <n v="0"/>
    <n v="0"/>
    <n v="0"/>
    <n v="0"/>
    <n v="0"/>
    <n v="0"/>
    <n v="594.927821440098"/>
    <n v="0"/>
    <n v="0"/>
    <n v="0"/>
    <n v="0"/>
    <n v="0"/>
    <n v="0"/>
    <n v="0.490347857182866"/>
    <n v="3866.3928538869"/>
    <n v="0"/>
    <n v="0"/>
    <n v="0"/>
    <n v="0"/>
    <n v="0"/>
    <n v="0"/>
    <n v="0"/>
    <n v="0"/>
  </r>
  <r>
    <x v="1"/>
    <x v="7"/>
    <n v="2030"/>
    <s v="Bornholm"/>
    <x v="2"/>
    <x v="0"/>
    <x v="0"/>
    <x v="0"/>
    <n v="0"/>
    <n v="0"/>
    <s v="C1.0_E0.0"/>
    <n v="1078.15121035788"/>
    <n v="0"/>
    <n v="0"/>
    <n v="0"/>
    <n v="0"/>
    <n v="0"/>
    <n v="0"/>
    <n v="0"/>
    <n v="0"/>
    <n v="11.0828306035799"/>
    <n v="0"/>
    <n v="10.4178607673652"/>
    <n v="0"/>
    <n v="0"/>
    <n v="0"/>
    <n v="0"/>
    <n v="1.3036749564624001E-3"/>
    <n v="10.279477031706"/>
    <n v="0"/>
    <n v="0"/>
    <n v="0"/>
    <n v="0"/>
    <n v="0"/>
    <n v="0"/>
    <n v="0"/>
    <n v="0"/>
  </r>
  <r>
    <x v="1"/>
    <x v="8"/>
    <n v="2030"/>
    <s v="Bornholm"/>
    <x v="2"/>
    <x v="0"/>
    <x v="0"/>
    <x v="0"/>
    <n v="0"/>
    <n v="0"/>
    <s v="C1.0_E0.0"/>
    <n v="1095.1689844376499"/>
    <n v="0"/>
    <n v="0"/>
    <n v="0"/>
    <n v="0"/>
    <n v="0"/>
    <n v="0"/>
    <n v="0"/>
    <n v="0"/>
    <n v="11.0620355227506"/>
    <n v="0"/>
    <n v="0"/>
    <n v="0"/>
    <n v="0"/>
    <n v="0"/>
    <n v="0"/>
    <n v="1.2810091008069401E-3"/>
    <n v="10.100756759862699"/>
    <n v="0"/>
    <n v="0"/>
    <n v="0"/>
    <n v="0"/>
    <n v="0"/>
    <n v="0"/>
    <n v="0"/>
    <n v="0"/>
  </r>
  <r>
    <x v="1"/>
    <x v="9"/>
    <n v="2030"/>
    <s v="Bornholm"/>
    <x v="2"/>
    <x v="0"/>
    <x v="0"/>
    <x v="0"/>
    <n v="0"/>
    <n v="0"/>
    <s v="C1.0_E0.0"/>
    <n v="231.056453662244"/>
    <n v="57.764113415561098"/>
    <n v="4.7218037297596798"/>
    <n v="1.7329234024668301"/>
    <n v="0"/>
    <n v="0"/>
    <n v="0"/>
    <n v="0"/>
    <n v="6.4547271322265196"/>
    <n v="998.17609508994099"/>
    <n v="0"/>
    <n v="0"/>
    <n v="0"/>
    <n v="0"/>
    <n v="0"/>
    <n v="6.46652145245464E-3"/>
    <n v="0.54788241813981697"/>
    <n v="4320.0528670324502"/>
    <n v="0.95952925539459599"/>
    <n v="0"/>
    <n v="0.95952925539459599"/>
    <n v="1.21152683761946E-4"/>
    <n v="0"/>
    <n v="0.231056453662244"/>
    <n v="2.9173794654324301E-5"/>
    <n v="0"/>
  </r>
  <r>
    <x v="1"/>
    <x v="10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1"/>
    <n v="2030"/>
    <s v="Bornholm"/>
    <x v="2"/>
    <x v="0"/>
    <x v="0"/>
    <x v="0"/>
    <n v="0"/>
    <n v="0"/>
    <s v="C1.0_E0.0"/>
    <n v="1111.5858662482401"/>
    <n v="2552.8857640716401"/>
    <n v="226.76629015338901"/>
    <n v="41.790857499889903"/>
    <n v="11.438279872195499"/>
    <n v="0"/>
    <n v="0"/>
    <n v="0"/>
    <n v="279.99542752547501"/>
    <n v="4062.5628867415599"/>
    <n v="0"/>
    <n v="0"/>
    <n v="0"/>
    <n v="0"/>
    <n v="0"/>
    <n v="6.8920884508460803E-2"/>
    <n v="0.46350602409637298"/>
    <n v="3654.7449999998998"/>
    <n v="39688.628677319102"/>
    <n v="0"/>
    <n v="39688.628677319102"/>
    <n v="5.0111904895605903"/>
    <n v="0"/>
    <n v="191.14830556004799"/>
    <n v="2.4134887065663101E-2"/>
    <n v="0"/>
  </r>
  <r>
    <x v="1"/>
    <x v="12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3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5"/>
    <n v="2030"/>
    <s v="Bornholm"/>
    <x v="2"/>
    <x v="0"/>
    <x v="0"/>
    <x v="0"/>
    <n v="0"/>
    <n v="0"/>
    <s v="C1.0_E0.0"/>
    <n v="445.63532923673699"/>
    <n v="0"/>
    <n v="0"/>
    <n v="0"/>
    <n v="0"/>
    <n v="0"/>
    <n v="0"/>
    <n v="0"/>
    <n v="0"/>
    <n v="40.411265441996498"/>
    <n v="0"/>
    <n v="0"/>
    <n v="0"/>
    <n v="0"/>
    <n v="0"/>
    <n v="0"/>
    <n v="1.1500616954238501E-2"/>
    <n v="90.682364684171105"/>
    <n v="0"/>
    <n v="0"/>
    <n v="0"/>
    <n v="0"/>
    <n v="0"/>
    <n v="0"/>
    <n v="0"/>
    <n v="0"/>
  </r>
  <r>
    <x v="1"/>
    <x v="16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7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8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0"/>
    <n v="2030"/>
    <s v="Bornholm"/>
    <x v="3"/>
    <x v="0"/>
    <x v="0"/>
    <x v="0"/>
    <n v="0"/>
    <n v="0"/>
    <s v="C1.0_E0.0"/>
    <n v="84.863295535122504"/>
    <n v="565.37285298227198"/>
    <n v="50.032995839139097"/>
    <n v="22.614914119290798"/>
    <n v="0"/>
    <n v="0"/>
    <n v="0"/>
    <n v="0"/>
    <n v="72.647909958430006"/>
    <n v="425.80645161290403"/>
    <n v="0"/>
    <n v="191.612903225791"/>
    <n v="1.0785670811849899"/>
    <n v="57.987477483064097"/>
    <n v="208.754918939031"/>
    <n v="0.170612515811463"/>
    <n v="0.63634208527638703"/>
    <n v="5017.5573424043096"/>
    <n v="1285.70019147322"/>
    <n v="0"/>
    <n v="1285.70019147322"/>
    <n v="0.16233588276177"/>
    <n v="4.7387521400559898"/>
    <n v="0"/>
    <n v="0"/>
    <n v="2.1244229789699899E-2"/>
  </r>
  <r>
    <x v="1"/>
    <x v="1"/>
    <n v="2030"/>
    <s v="Bornholm"/>
    <x v="3"/>
    <x v="0"/>
    <x v="0"/>
    <x v="0"/>
    <n v="0"/>
    <n v="0"/>
    <s v="C1.0_E0.0"/>
    <n v="196.36014127335099"/>
    <n v="23.758233990709201"/>
    <n v="2.77566366561804"/>
    <n v="0.71274701972127696"/>
    <n v="0"/>
    <n v="0"/>
    <n v="0"/>
    <n v="5.60570619759828E-2"/>
    <n v="3.5444677473152999"/>
    <n v="862.41633809203495"/>
    <n v="0"/>
    <n v="2.15604084522995"/>
    <n v="0"/>
    <n v="0"/>
    <n v="0"/>
    <n v="4.1099264830219903E-3"/>
    <n v="0.55700865299341196"/>
    <n v="4392.0132288530504"/>
    <n v="0"/>
    <n v="0"/>
    <n v="0"/>
    <n v="0"/>
    <n v="0"/>
    <n v="0"/>
    <n v="0"/>
    <n v="0"/>
  </r>
  <r>
    <x v="1"/>
    <x v="2"/>
    <n v="2030"/>
    <s v="Bornholm"/>
    <x v="3"/>
    <x v="0"/>
    <x v="0"/>
    <x v="0"/>
    <n v="0"/>
    <n v="0"/>
    <s v="C1.0_E0.0"/>
    <n v="17.454234779853401"/>
    <n v="695.37671362936203"/>
    <n v="61.537762268085103"/>
    <n v="69.537671362936194"/>
    <n v="0"/>
    <n v="0"/>
    <n v="0"/>
    <n v="0"/>
    <n v="131.07543363102101"/>
    <n v="76.659230052625404"/>
    <n v="0"/>
    <n v="3817.6296566209198"/>
    <n v="0"/>
    <n v="0"/>
    <n v="0"/>
    <n v="1.7098454229326301"/>
    <n v="0.55700865299341196"/>
    <n v="4392.0132288530504"/>
    <n v="1343.65314229"/>
    <n v="0"/>
    <n v="1343.65314229"/>
    <n v="0.169653174531565"/>
    <n v="0"/>
    <n v="8.2558530508706901E-3"/>
    <n v="1.0424056882412399E-6"/>
    <n v="0"/>
  </r>
  <r>
    <x v="1"/>
    <x v="3"/>
    <n v="2030"/>
    <s v="Bornholm"/>
    <x v="3"/>
    <x v="0"/>
    <x v="0"/>
    <x v="0"/>
    <n v="0"/>
    <n v="0"/>
    <s v="C1.0_E0.0"/>
    <n v="15.275393196322"/>
    <n v="0"/>
    <n v="0"/>
    <n v="0"/>
    <n v="0"/>
    <n v="0"/>
    <n v="0"/>
    <n v="0"/>
    <n v="0"/>
    <n v="76.645161290322093"/>
    <n v="0"/>
    <n v="0"/>
    <n v="0"/>
    <n v="0"/>
    <n v="0"/>
    <n v="0"/>
    <n v="0.63634208527638703"/>
    <n v="5017.5573424043096"/>
    <n v="0"/>
    <n v="0"/>
    <n v="0"/>
    <n v="0"/>
    <n v="0"/>
    <n v="0"/>
    <n v="0"/>
    <n v="0"/>
  </r>
  <r>
    <x v="1"/>
    <x v="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5"/>
    <n v="2030"/>
    <s v="Bornholm"/>
    <x v="3"/>
    <x v="0"/>
    <x v="0"/>
    <x v="0"/>
    <n v="0"/>
    <n v="0"/>
    <s v="C1.0_E0.0"/>
    <n v="99.070236610448305"/>
    <n v="0"/>
    <n v="0"/>
    <n v="0"/>
    <n v="0"/>
    <n v="0"/>
    <n v="0"/>
    <n v="0"/>
    <n v="0"/>
    <n v="435.117789778705"/>
    <n v="0"/>
    <n v="0"/>
    <n v="0"/>
    <n v="0"/>
    <n v="0"/>
    <n v="0"/>
    <n v="0.55700865299341196"/>
    <n v="4392.0132288530504"/>
    <n v="0"/>
    <n v="0"/>
    <n v="0"/>
    <n v="0"/>
    <n v="0"/>
    <n v="0"/>
    <n v="0"/>
    <n v="0"/>
  </r>
  <r>
    <x v="1"/>
    <x v="6"/>
    <n v="2030"/>
    <s v="Bornholm"/>
    <x v="3"/>
    <x v="0"/>
    <x v="0"/>
    <x v="0"/>
    <n v="0"/>
    <n v="0"/>
    <s v="C1.0_E0.0"/>
    <n v="135.44486189166301"/>
    <n v="0"/>
    <n v="0"/>
    <n v="0"/>
    <n v="0"/>
    <n v="0"/>
    <n v="0"/>
    <n v="0"/>
    <n v="0"/>
    <n v="594.87562520836298"/>
    <n v="0"/>
    <n v="0"/>
    <n v="0"/>
    <n v="0"/>
    <n v="0"/>
    <n v="0"/>
    <n v="0.55700865299341196"/>
    <n v="4392.0132288530504"/>
    <n v="0"/>
    <n v="0"/>
    <n v="0"/>
    <n v="0"/>
    <n v="0"/>
    <n v="0"/>
    <n v="0"/>
    <n v="0"/>
  </r>
  <r>
    <x v="1"/>
    <x v="7"/>
    <n v="2030"/>
    <s v="Bornholm"/>
    <x v="3"/>
    <x v="0"/>
    <x v="0"/>
    <x v="0"/>
    <n v="0"/>
    <n v="0"/>
    <s v="C1.0_E0.0"/>
    <n v="947.26598182222403"/>
    <n v="0"/>
    <n v="0"/>
    <n v="0"/>
    <n v="0"/>
    <n v="0"/>
    <n v="0"/>
    <n v="0"/>
    <n v="0"/>
    <n v="10.202753823260499"/>
    <n v="0"/>
    <n v="9.5905885938651299"/>
    <n v="0"/>
    <n v="0"/>
    <n v="0"/>
    <n v="0"/>
    <n v="1.36597820205955E-3"/>
    <n v="10.7707381232396"/>
    <n v="0"/>
    <n v="0"/>
    <n v="0"/>
    <n v="0"/>
    <n v="0"/>
    <n v="0"/>
    <n v="0"/>
    <n v="0"/>
  </r>
  <r>
    <x v="1"/>
    <x v="8"/>
    <n v="2030"/>
    <s v="Bornholm"/>
    <x v="3"/>
    <x v="0"/>
    <x v="0"/>
    <x v="0"/>
    <n v="0"/>
    <n v="0"/>
    <s v="C1.0_E0.0"/>
    <n v="962.54137501854598"/>
    <n v="0"/>
    <n v="0"/>
    <n v="0"/>
    <n v="0"/>
    <n v="0"/>
    <n v="0"/>
    <n v="0"/>
    <n v="0"/>
    <n v="10.188685060955899"/>
    <n v="0"/>
    <n v="0"/>
    <n v="0"/>
    <n v="0"/>
    <n v="0"/>
    <n v="0"/>
    <n v="1.3424466443369199E-3"/>
    <n v="10.5851917905966"/>
    <n v="0"/>
    <n v="0"/>
    <n v="0"/>
    <n v="0"/>
    <n v="0"/>
    <n v="0"/>
    <n v="0"/>
    <n v="0"/>
  </r>
  <r>
    <x v="1"/>
    <x v="9"/>
    <n v="2030"/>
    <s v="Bornholm"/>
    <x v="3"/>
    <x v="0"/>
    <x v="0"/>
    <x v="0"/>
    <n v="0"/>
    <n v="0"/>
    <s v="C1.0_E0.0"/>
    <n v="156.31958116332399"/>
    <n v="39.079895290831203"/>
    <n v="3.1945023377292001"/>
    <n v="1.17239685872493"/>
    <n v="0"/>
    <n v="0"/>
    <n v="0"/>
    <n v="0"/>
    <n v="4.3668991964541402"/>
    <n v="745.35229311849798"/>
    <n v="0"/>
    <n v="0"/>
    <n v="0"/>
    <n v="0"/>
    <n v="0"/>
    <n v="5.8588391513271698E-3"/>
    <n v="0.60470911025461205"/>
    <n v="4768.1313343576103"/>
    <n v="0.64916261346458004"/>
    <n v="0"/>
    <n v="0.64916261346458004"/>
    <n v="8.1964976447547794E-5"/>
    <n v="0"/>
    <n v="0.15631958116332401"/>
    <n v="1.97373208539551E-5"/>
    <n v="0"/>
  </r>
  <r>
    <x v="1"/>
    <x v="10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1"/>
    <n v="2030"/>
    <s v="Bornholm"/>
    <x v="3"/>
    <x v="0"/>
    <x v="0"/>
    <x v="0"/>
    <n v="0"/>
    <n v="0"/>
    <s v="C1.0_E0.0"/>
    <n v="977.49316410915299"/>
    <n v="2244.9263335400401"/>
    <n v="199.41104435186099"/>
    <n v="36.749547442769703"/>
    <n v="11.4655193379722"/>
    <n v="0"/>
    <n v="0"/>
    <n v="0"/>
    <n v="247.626111132603"/>
    <n v="4072.2375969212399"/>
    <n v="0"/>
    <n v="0"/>
    <n v="0"/>
    <n v="0"/>
    <n v="0"/>
    <n v="6.08083652387615E-2"/>
    <n v="0.52834509828787701"/>
    <n v="4166.0010999999104"/>
    <n v="34900.914452866899"/>
    <n v="0"/>
    <n v="34900.914452866899"/>
    <n v="4.40668111778621"/>
    <n v="0"/>
    <n v="168.08972450021"/>
    <n v="2.1223450063157699E-2"/>
    <n v="0"/>
  </r>
  <r>
    <x v="1"/>
    <x v="12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3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5"/>
    <n v="2030"/>
    <s v="Bornholm"/>
    <x v="3"/>
    <x v="0"/>
    <x v="0"/>
    <x v="0"/>
    <n v="0"/>
    <n v="0"/>
    <s v="C1.0_E0.0"/>
    <n v="871.95540211122704"/>
    <n v="0"/>
    <n v="0"/>
    <n v="0"/>
    <n v="0"/>
    <n v="0"/>
    <n v="0"/>
    <n v="0"/>
    <n v="0"/>
    <n v="51.248407635495703"/>
    <n v="0"/>
    <n v="0"/>
    <n v="0"/>
    <n v="0"/>
    <n v="0"/>
    <n v="0"/>
    <n v="7.4539144754249198E-3"/>
    <n v="58.774115638725497"/>
    <n v="0"/>
    <n v="0"/>
    <n v="0"/>
    <n v="0"/>
    <n v="0"/>
    <n v="0"/>
    <n v="0"/>
    <n v="0"/>
  </r>
  <r>
    <x v="1"/>
    <x v="16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7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8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0"/>
    <n v="2030"/>
    <s v="Bornholm"/>
    <x v="4"/>
    <x v="0"/>
    <x v="0"/>
    <x v="0"/>
    <n v="0"/>
    <n v="0"/>
    <s v="C1.0_E0.0"/>
    <n v="89.553952362204996"/>
    <n v="596.62275926938798"/>
    <n v="52.7984742716272"/>
    <n v="23.864910370775501"/>
    <n v="0"/>
    <n v="0"/>
    <n v="0"/>
    <n v="0"/>
    <n v="76.663384642402704"/>
    <n v="425.80645161290698"/>
    <n v="0"/>
    <n v="191.612903225818"/>
    <n v="1.0880856806941701"/>
    <n v="58.499230144847999"/>
    <n v="210.59722852145299"/>
    <n v="0.180042797266247"/>
    <n v="0.60301176017154301"/>
    <n v="4754.7477289526096"/>
    <n v="1356.7648177369899"/>
    <n v="0"/>
    <n v="1356.7648177369899"/>
    <n v="0.17130868910820399"/>
    <n v="4.7484238729308599"/>
    <n v="0"/>
    <n v="0"/>
    <n v="2.12363504066845E-2"/>
  </r>
  <r>
    <x v="1"/>
    <x v="1"/>
    <n v="2030"/>
    <s v="Bornholm"/>
    <x v="4"/>
    <x v="0"/>
    <x v="0"/>
    <x v="0"/>
    <n v="0"/>
    <n v="0"/>
    <s v="C1.0_E0.0"/>
    <n v="198.07843548337399"/>
    <n v="23.966135836989601"/>
    <n v="2.7999527437103402"/>
    <n v="0.71898407510968898"/>
    <n v="0"/>
    <n v="0"/>
    <n v="0"/>
    <n v="5.6054878851106299E-2"/>
    <n v="3.57499169767113"/>
    <n v="862.38275155548297"/>
    <n v="0"/>
    <n v="2.15595687888877"/>
    <n v="0"/>
    <n v="0"/>
    <n v="0"/>
    <n v="4.1454814480263004E-3"/>
    <n v="0.55215520042502098"/>
    <n v="4353.74375535129"/>
    <n v="0"/>
    <n v="0"/>
    <n v="0"/>
    <n v="0"/>
    <n v="0"/>
    <n v="0"/>
    <n v="0"/>
    <n v="0"/>
  </r>
  <r>
    <x v="1"/>
    <x v="2"/>
    <n v="2030"/>
    <s v="Bornholm"/>
    <x v="4"/>
    <x v="0"/>
    <x v="0"/>
    <x v="0"/>
    <n v="0"/>
    <n v="0"/>
    <s v="C1.0_E0.0"/>
    <n v="17.6069720429666"/>
    <n v="701.46176619179096"/>
    <n v="62.076262494848699"/>
    <n v="70.146176619179101"/>
    <n v="0"/>
    <n v="0"/>
    <n v="0"/>
    <n v="0"/>
    <n v="132.222439114027"/>
    <n v="76.656244582712901"/>
    <n v="0"/>
    <n v="3817.4809802188202"/>
    <n v="0"/>
    <n v="0"/>
    <n v="0"/>
    <n v="1.72487499007805"/>
    <n v="0.55215520042502098"/>
    <n v="4353.74375535129"/>
    <n v="1355.41108562669"/>
    <n v="0"/>
    <n v="1355.41108562669"/>
    <n v="0.171137763336702"/>
    <n v="0"/>
    <n v="8.3280977763232206E-3"/>
    <n v="1.05152749701049E-6"/>
    <n v="0"/>
  </r>
  <r>
    <x v="1"/>
    <x v="3"/>
    <n v="2030"/>
    <s v="Bornholm"/>
    <x v="4"/>
    <x v="0"/>
    <x v="0"/>
    <x v="0"/>
    <n v="0"/>
    <n v="0"/>
    <s v="C1.0_E0.0"/>
    <n v="16.1197114251969"/>
    <n v="0"/>
    <n v="0"/>
    <n v="0"/>
    <n v="0"/>
    <n v="0"/>
    <n v="0"/>
    <n v="0"/>
    <n v="0"/>
    <n v="76.645161290331203"/>
    <n v="0"/>
    <n v="0"/>
    <n v="0"/>
    <n v="0"/>
    <n v="0"/>
    <n v="0"/>
    <n v="0.60301176017154301"/>
    <n v="4754.7477289526096"/>
    <n v="0"/>
    <n v="0"/>
    <n v="0"/>
    <n v="0"/>
    <n v="0"/>
    <n v="0"/>
    <n v="0"/>
    <n v="0"/>
  </r>
  <r>
    <x v="1"/>
    <x v="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5"/>
    <n v="2030"/>
    <s v="Bornholm"/>
    <x v="4"/>
    <x v="0"/>
    <x v="0"/>
    <x v="0"/>
    <n v="0"/>
    <n v="0"/>
    <s v="C1.0_E0.0"/>
    <n v="99.937173315878596"/>
    <n v="0"/>
    <n v="0"/>
    <n v="0"/>
    <n v="0"/>
    <n v="0"/>
    <n v="0"/>
    <n v="0"/>
    <n v="0"/>
    <n v="435.10084425147198"/>
    <n v="0"/>
    <n v="0"/>
    <n v="0"/>
    <n v="0"/>
    <n v="0"/>
    <n v="0"/>
    <n v="0.55215520042502098"/>
    <n v="4353.74375535129"/>
    <n v="0"/>
    <n v="0"/>
    <n v="0"/>
    <n v="0"/>
    <n v="0"/>
    <n v="0"/>
    <n v="0"/>
    <n v="0"/>
  </r>
  <r>
    <x v="1"/>
    <x v="6"/>
    <n v="2030"/>
    <s v="Bornholm"/>
    <x v="4"/>
    <x v="0"/>
    <x v="0"/>
    <x v="0"/>
    <n v="0"/>
    <n v="0"/>
    <s v="C1.0_E0.0"/>
    <n v="136.63010305342101"/>
    <n v="0"/>
    <n v="0"/>
    <n v="0"/>
    <n v="0"/>
    <n v="0"/>
    <n v="0"/>
    <n v="0"/>
    <n v="0"/>
    <n v="594.85245796185905"/>
    <n v="0"/>
    <n v="0"/>
    <n v="0"/>
    <n v="0"/>
    <n v="0"/>
    <n v="0"/>
    <n v="0.55215520042502098"/>
    <n v="4353.74375535129"/>
    <n v="0"/>
    <n v="0"/>
    <n v="0"/>
    <n v="0"/>
    <n v="0"/>
    <n v="0"/>
    <n v="0"/>
    <n v="0"/>
  </r>
  <r>
    <x v="1"/>
    <x v="7"/>
    <n v="2030"/>
    <s v="Bornholm"/>
    <x v="4"/>
    <x v="0"/>
    <x v="0"/>
    <x v="0"/>
    <n v="0"/>
    <n v="0"/>
    <s v="C1.0_E0.0"/>
    <n v="944.84822371369103"/>
    <n v="0"/>
    <n v="0"/>
    <n v="0"/>
    <n v="0"/>
    <n v="0"/>
    <n v="0"/>
    <n v="0"/>
    <n v="0"/>
    <n v="8.0426863379949101"/>
    <n v="0"/>
    <n v="7.5601251577153699"/>
    <n v="0"/>
    <n v="0"/>
    <n v="0"/>
    <n v="0"/>
    <n v="1.0795366300561499E-3"/>
    <n v="8.5121463279928005"/>
    <n v="0"/>
    <n v="0"/>
    <n v="0"/>
    <n v="0"/>
    <n v="0"/>
    <n v="0"/>
    <n v="0"/>
    <n v="0"/>
  </r>
  <r>
    <x v="1"/>
    <x v="8"/>
    <n v="2030"/>
    <s v="Bornholm"/>
    <x v="4"/>
    <x v="0"/>
    <x v="0"/>
    <x v="0"/>
    <n v="0"/>
    <n v="0"/>
    <s v="C1.0_E0.0"/>
    <n v="960.96793513888804"/>
    <n v="0"/>
    <n v="0"/>
    <n v="0"/>
    <n v="0"/>
    <n v="0"/>
    <n v="0"/>
    <n v="0"/>
    <n v="0"/>
    <n v="8.0316030456112397"/>
    <n v="0"/>
    <n v="0"/>
    <n v="0"/>
    <n v="0"/>
    <n v="0"/>
    <n v="0"/>
    <n v="1.0599652837517399E-3"/>
    <n v="8.3578262623825204"/>
    <n v="0"/>
    <n v="0"/>
    <n v="0"/>
    <n v="0"/>
    <n v="0"/>
    <n v="0"/>
    <n v="0"/>
    <n v="0"/>
  </r>
  <r>
    <x v="1"/>
    <x v="9"/>
    <n v="2030"/>
    <s v="Bornholm"/>
    <x v="4"/>
    <x v="0"/>
    <x v="0"/>
    <x v="0"/>
    <n v="0"/>
    <n v="0"/>
    <s v="C1.0_E0.0"/>
    <n v="123.14769315655001"/>
    <n v="30.786923289137601"/>
    <n v="2.5166111036565102"/>
    <n v="0.92360769867412895"/>
    <n v="0"/>
    <n v="0"/>
    <n v="0"/>
    <n v="0"/>
    <n v="3.4402188023306399"/>
    <n v="589.65888574207395"/>
    <n v="0"/>
    <n v="0"/>
    <n v="0"/>
    <n v="0"/>
    <n v="0"/>
    <n v="5.8342524559791796E-3"/>
    <n v="0.60725747421041998"/>
    <n v="4788.2251841491598"/>
    <n v="0.511406681982567"/>
    <n v="0"/>
    <n v="0.511406681982567"/>
    <n v="6.4571550755373994E-5"/>
    <n v="0"/>
    <n v="0.12314769315655"/>
    <n v="1.5548951156129899E-5"/>
    <n v="0"/>
  </r>
  <r>
    <x v="1"/>
    <x v="10"/>
    <n v="2030"/>
    <s v="Bornholm"/>
    <x v="4"/>
    <x v="0"/>
    <x v="0"/>
    <x v="0"/>
    <n v="0"/>
    <n v="0"/>
    <s v="C1.0_E0.0"/>
    <n v="2.9356515357022799"/>
    <n v="5.86581431882282"/>
    <n v="0.52104523066734199"/>
    <n v="0.11036789754437901"/>
    <n v="3.0931687128771E-2"/>
    <n v="0"/>
    <n v="0"/>
    <n v="0"/>
    <n v="0.66234481534049205"/>
    <n v="10.9860858064069"/>
    <n v="0"/>
    <n v="0"/>
    <n v="0"/>
    <n v="0"/>
    <n v="0"/>
    <n v="6.02894267359739E-2"/>
    <n v="0.47460989220037397"/>
    <n v="3742.29899999995"/>
    <n v="104.815999612997"/>
    <n v="0"/>
    <n v="104.815999612997"/>
    <n v="1.32343433854793E-2"/>
    <n v="0"/>
    <n v="0.504814638079364"/>
    <n v="6.37392219797171E-5"/>
    <n v="0"/>
  </r>
  <r>
    <x v="1"/>
    <x v="11"/>
    <n v="2030"/>
    <s v="Bornholm"/>
    <x v="4"/>
    <x v="0"/>
    <x v="0"/>
    <x v="0"/>
    <n v="0"/>
    <n v="0"/>
    <s v="C1.0_E0.0"/>
    <n v="974.38709462625798"/>
    <n v="2237.79288500865"/>
    <n v="198.77739842761801"/>
    <n v="36.632772561866801"/>
    <n v="11.3403526860087"/>
    <n v="0"/>
    <n v="0"/>
    <n v="0"/>
    <n v="246.75052367549301"/>
    <n v="4027.781839534"/>
    <n v="0"/>
    <n v="0"/>
    <n v="0"/>
    <n v="0"/>
    <n v="0"/>
    <n v="6.1262137202555397E-2"/>
    <n v="0.52424309448318496"/>
    <n v="4133.6567999999197"/>
    <n v="34790.013763954099"/>
    <n v="0"/>
    <n v="34790.013763954099"/>
    <n v="4.3926785055497204"/>
    <n v="0"/>
    <n v="167.55560479193099"/>
    <n v="2.1156010706051699E-2"/>
    <n v="0"/>
  </r>
  <r>
    <x v="1"/>
    <x v="12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3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5"/>
    <n v="2030"/>
    <s v="Bornholm"/>
    <x v="4"/>
    <x v="0"/>
    <x v="0"/>
    <x v="0"/>
    <n v="0"/>
    <n v="0"/>
    <s v="C1.0_E0.0"/>
    <n v="359.68220564366499"/>
    <n v="0"/>
    <n v="0"/>
    <n v="0"/>
    <n v="0"/>
    <n v="0"/>
    <n v="0"/>
    <n v="0"/>
    <n v="0"/>
    <n v="19.9579598593225"/>
    <n v="0"/>
    <n v="0"/>
    <n v="0"/>
    <n v="0"/>
    <n v="0"/>
    <n v="0"/>
    <n v="7.0371287100181997E-3"/>
    <n v="55.487759878493499"/>
    <n v="0"/>
    <n v="0"/>
    <n v="0"/>
    <n v="0"/>
    <n v="0"/>
    <n v="0"/>
    <n v="0"/>
    <n v="0"/>
  </r>
  <r>
    <x v="1"/>
    <x v="16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7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8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0"/>
    <n v="2030"/>
    <s v="Bornholm"/>
    <x v="5"/>
    <x v="0"/>
    <x v="0"/>
    <x v="0"/>
    <n v="0"/>
    <n v="0"/>
    <s v="C1.0_E0.0"/>
    <n v="77.448847781876495"/>
    <n v="515.97661573850598"/>
    <n v="45.661647410487298"/>
    <n v="20.639064629540201"/>
    <n v="0"/>
    <n v="0"/>
    <n v="0"/>
    <n v="0"/>
    <n v="66.300712040027506"/>
    <n v="425.80645161291"/>
    <n v="0"/>
    <n v="191.612903225808"/>
    <n v="1.16723186985521"/>
    <n v="62.754401605119"/>
    <n v="225.91584577842801"/>
    <n v="0.15570621766975901"/>
    <n v="0.697261327842291"/>
    <n v="5497.9055700364597"/>
    <n v="1173.36945018035"/>
    <n v="0"/>
    <n v="1173.36945018035"/>
    <n v="0.148152708356102"/>
    <n v="5.1491172396726697"/>
    <n v="0"/>
    <n v="0"/>
    <n v="2.3244177973870801E-2"/>
  </r>
  <r>
    <x v="1"/>
    <x v="1"/>
    <n v="2030"/>
    <s v="Bornholm"/>
    <x v="5"/>
    <x v="0"/>
    <x v="0"/>
    <x v="0"/>
    <n v="0"/>
    <n v="0"/>
    <s v="C1.0_E0.0"/>
    <n v="216.30393657190501"/>
    <n v="26.171296806274398"/>
    <n v="3.05758069626255"/>
    <n v="0.78513890418823196"/>
    <n v="0"/>
    <n v="0"/>
    <n v="0"/>
    <n v="5.6077338400341702E-2"/>
    <n v="3.8987969388511199"/>
    <n v="862.72828308218004"/>
    <n v="0"/>
    <n v="2.1568207077053798"/>
    <n v="0"/>
    <n v="0"/>
    <n v="0"/>
    <n v="4.5191481667000597E-3"/>
    <n v="0.50583388056321799"/>
    <n v="3988.5001482409698"/>
    <n v="0"/>
    <n v="0"/>
    <n v="0"/>
    <n v="0"/>
    <n v="0"/>
    <n v="0"/>
    <n v="0"/>
    <n v="0"/>
  </r>
  <r>
    <x v="1"/>
    <x v="2"/>
    <n v="2030"/>
    <s v="Bornholm"/>
    <x v="5"/>
    <x v="0"/>
    <x v="0"/>
    <x v="0"/>
    <n v="0"/>
    <n v="0"/>
    <s v="C1.0_E0.0"/>
    <n v="19.227016584169299"/>
    <n v="766.00434071330801"/>
    <n v="67.787994753390095"/>
    <n v="76.600434071330795"/>
    <n v="0"/>
    <n v="0"/>
    <n v="0"/>
    <n v="0"/>
    <n v="144.38842882472099"/>
    <n v="76.686958496194194"/>
    <n v="0"/>
    <n v="3819.01053311025"/>
    <n v="0"/>
    <n v="0"/>
    <n v="0"/>
    <n v="1.8828289927796"/>
    <n v="0.50583388056321799"/>
    <n v="3988.5001482409698"/>
    <n v="1480.12454146661"/>
    <n v="0"/>
    <n v="1480.12454146661"/>
    <n v="0.186884411801337"/>
    <n v="0"/>
    <n v="9.0943788443121204E-3"/>
    <n v="1.1482801571100899E-6"/>
    <n v="0"/>
  </r>
  <r>
    <x v="1"/>
    <x v="3"/>
    <n v="2030"/>
    <s v="Bornholm"/>
    <x v="5"/>
    <x v="0"/>
    <x v="0"/>
    <x v="0"/>
    <n v="0"/>
    <n v="0"/>
    <s v="C1.0_E0.0"/>
    <n v="13.9407926007377"/>
    <n v="0"/>
    <n v="0"/>
    <n v="0"/>
    <n v="0"/>
    <n v="0"/>
    <n v="0"/>
    <n v="0"/>
    <n v="0"/>
    <n v="76.645161290313496"/>
    <n v="0"/>
    <n v="0"/>
    <n v="0"/>
    <n v="0"/>
    <n v="0"/>
    <n v="0"/>
    <n v="0.697261327842291"/>
    <n v="5497.9055700364597"/>
    <n v="0"/>
    <n v="0"/>
    <n v="0"/>
    <n v="0"/>
    <n v="0"/>
    <n v="0"/>
    <n v="0"/>
    <n v="0"/>
  </r>
  <r>
    <x v="1"/>
    <x v="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5"/>
    <n v="2030"/>
    <s v="Bornholm"/>
    <x v="5"/>
    <x v="0"/>
    <x v="0"/>
    <x v="0"/>
    <n v="0"/>
    <n v="0"/>
    <s v="C1.0_E0.0"/>
    <n v="109.132546131745"/>
    <n v="0"/>
    <n v="0"/>
    <n v="0"/>
    <n v="0"/>
    <n v="0"/>
    <n v="0"/>
    <n v="0"/>
    <n v="0"/>
    <n v="435.27517642437698"/>
    <n v="0"/>
    <n v="0"/>
    <n v="0"/>
    <n v="0"/>
    <n v="0"/>
    <n v="0"/>
    <n v="0.50583388056321799"/>
    <n v="3988.5001482409698"/>
    <n v="0"/>
    <n v="0"/>
    <n v="0"/>
    <n v="0"/>
    <n v="0"/>
    <n v="0"/>
    <n v="0"/>
    <n v="0"/>
  </r>
  <r>
    <x v="1"/>
    <x v="6"/>
    <n v="2030"/>
    <s v="Bornholm"/>
    <x v="5"/>
    <x v="0"/>
    <x v="0"/>
    <x v="0"/>
    <n v="0"/>
    <n v="0"/>
    <s v="C1.0_E0.0"/>
    <n v="149.201648693154"/>
    <n v="0"/>
    <n v="0"/>
    <n v="0"/>
    <n v="0"/>
    <n v="0"/>
    <n v="0"/>
    <n v="0"/>
    <n v="0"/>
    <n v="595.09079793044498"/>
    <n v="0"/>
    <n v="0"/>
    <n v="0"/>
    <n v="0"/>
    <n v="0"/>
    <n v="0"/>
    <n v="0.50583388056321799"/>
    <n v="3988.5001482409698"/>
    <n v="0"/>
    <n v="0"/>
    <n v="0"/>
    <n v="0"/>
    <n v="0"/>
    <n v="0"/>
    <n v="0"/>
    <n v="0"/>
  </r>
  <r>
    <x v="1"/>
    <x v="7"/>
    <n v="2030"/>
    <s v="Bornholm"/>
    <x v="5"/>
    <x v="0"/>
    <x v="0"/>
    <x v="0"/>
    <n v="0"/>
    <n v="0"/>
    <s v="C1.0_E0.0"/>
    <n v="1042.0917775769201"/>
    <n v="0"/>
    <n v="0"/>
    <n v="0"/>
    <n v="0"/>
    <n v="0"/>
    <n v="0"/>
    <n v="0"/>
    <n v="0"/>
    <n v="25.5596777988101"/>
    <n v="0"/>
    <n v="24.026097130881499"/>
    <n v="0"/>
    <n v="0"/>
    <n v="0"/>
    <n v="0"/>
    <n v="3.1106253576053799E-3"/>
    <n v="24.527280944718399"/>
    <n v="0"/>
    <n v="0"/>
    <n v="0"/>
    <n v="0"/>
    <n v="0"/>
    <n v="0"/>
    <n v="0"/>
    <n v="0"/>
  </r>
  <r>
    <x v="1"/>
    <x v="8"/>
    <n v="2030"/>
    <s v="Bornholm"/>
    <x v="5"/>
    <x v="0"/>
    <x v="0"/>
    <x v="0"/>
    <n v="0"/>
    <n v="0"/>
    <s v="C1.0_E0.0"/>
    <n v="1056.0325701776601"/>
    <n v="0"/>
    <n v="0"/>
    <n v="0"/>
    <n v="0"/>
    <n v="0"/>
    <n v="0"/>
    <n v="0"/>
    <n v="0"/>
    <n v="25.517880592938099"/>
    <n v="0"/>
    <n v="0"/>
    <n v="0"/>
    <n v="0"/>
    <n v="0"/>
    <n v="0"/>
    <n v="3.0645420882037902E-3"/>
    <n v="24.1639143654869"/>
    <n v="0"/>
    <n v="0"/>
    <n v="0"/>
    <n v="0"/>
    <n v="0"/>
    <n v="0"/>
    <n v="0"/>
    <n v="0"/>
  </r>
  <r>
    <x v="1"/>
    <x v="9"/>
    <n v="2030"/>
    <s v="Bornholm"/>
    <x v="5"/>
    <x v="0"/>
    <x v="0"/>
    <x v="0"/>
    <n v="0"/>
    <n v="0"/>
    <s v="C1.0_E0.0"/>
    <n v="464.413398576823"/>
    <n v="116.103349644205"/>
    <n v="9.4906196420547797"/>
    <n v="3.4831004893261701"/>
    <n v="0"/>
    <n v="0"/>
    <n v="0"/>
    <n v="0"/>
    <n v="12.973720131380899"/>
    <n v="2006.7829354744099"/>
    <n v="0"/>
    <n v="0"/>
    <n v="0"/>
    <n v="0"/>
    <n v="0"/>
    <n v="6.4649344490832596E-3"/>
    <n v="0.54801691157538002"/>
    <n v="4321.1133477718704"/>
    <n v="1.9286119710947001"/>
    <n v="0"/>
    <n v="1.9286119710947001"/>
    <n v="2.4351161251195299E-4"/>
    <n v="0"/>
    <n v="0.46441339857682301"/>
    <n v="5.8638055375860598E-5"/>
    <n v="0"/>
  </r>
  <r>
    <x v="1"/>
    <x v="10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1"/>
    <n v="2030"/>
    <s v="Bornholm"/>
    <x v="5"/>
    <x v="0"/>
    <x v="0"/>
    <x v="0"/>
    <n v="0"/>
    <n v="0"/>
    <s v="C1.0_E0.0"/>
    <n v="1067.8086867622601"/>
    <n v="2452.34639802324"/>
    <n v="217.835636312926"/>
    <n v="40.145023448562398"/>
    <n v="11.4725430160748"/>
    <n v="0"/>
    <n v="0"/>
    <n v="0"/>
    <n v="269.45320277756298"/>
    <n v="4074.7322144955301"/>
    <n v="0"/>
    <n v="0"/>
    <n v="0"/>
    <n v="0"/>
    <n v="0"/>
    <n v="6.6127830883954894E-2"/>
    <n v="0.48395382371590301"/>
    <n v="3815.9758999998999"/>
    <n v="38125.585934590097"/>
    <n v="0"/>
    <n v="38125.585934590097"/>
    <n v="4.8138366079027204"/>
    <n v="0"/>
    <n v="183.620381775639"/>
    <n v="2.3184391638337899E-2"/>
    <n v="0"/>
  </r>
  <r>
    <x v="1"/>
    <x v="12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3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5"/>
    <n v="2030"/>
    <s v="Bornholm"/>
    <x v="5"/>
    <x v="0"/>
    <x v="0"/>
    <x v="0"/>
    <n v="0"/>
    <n v="0"/>
    <s v="C1.0_E0.0"/>
    <n v="969.95599274144695"/>
    <n v="0"/>
    <n v="0"/>
    <n v="0"/>
    <n v="0"/>
    <n v="0"/>
    <n v="0"/>
    <n v="0"/>
    <n v="0"/>
    <n v="37.925860320619996"/>
    <n v="0"/>
    <n v="0"/>
    <n v="0"/>
    <n v="0"/>
    <n v="0"/>
    <n v="0"/>
    <n v="4.9588584655441501E-3"/>
    <n v="39.100599000815599"/>
    <n v="0"/>
    <n v="0"/>
    <n v="0"/>
    <n v="0"/>
    <n v="0"/>
    <n v="0"/>
    <n v="0"/>
    <n v="0"/>
  </r>
  <r>
    <x v="1"/>
    <x v="16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7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8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0"/>
    <n v="2030"/>
    <s v="Bornholm"/>
    <x v="6"/>
    <x v="0"/>
    <x v="0"/>
    <x v="0"/>
    <n v="0"/>
    <n v="0"/>
    <s v="C1.0_E0.0"/>
    <n v="96.1614179459539"/>
    <n v="640.64275218281603"/>
    <n v="56.694048865735901"/>
    <n v="25.625710087312601"/>
    <n v="0"/>
    <n v="0"/>
    <n v="0"/>
    <n v="0"/>
    <n v="82.319758953048606"/>
    <n v="425.80645161289601"/>
    <n v="0"/>
    <n v="191.61290322578199"/>
    <n v="1.22930679643823"/>
    <n v="66.091763249367602"/>
    <n v="237.93034769772299"/>
    <n v="0.193326706632162"/>
    <n v="0.56157747668189895"/>
    <n v="4428.0384036367705"/>
    <n v="1456.86957695722"/>
    <n v="0"/>
    <n v="1456.86957695722"/>
    <n v="0.18394817890874299"/>
    <n v="5.4144665686079199"/>
    <n v="0"/>
    <n v="0"/>
    <n v="2.4132656889887898E-2"/>
  </r>
  <r>
    <x v="0"/>
    <x v="1"/>
    <n v="2030"/>
    <s v="Bornholm"/>
    <x v="6"/>
    <x v="0"/>
    <x v="0"/>
    <x v="0"/>
    <n v="0"/>
    <n v="0"/>
    <s v="C1.0_E0.0"/>
    <n v="218.45764285069899"/>
    <n v="26.431880534657498"/>
    <n v="3.0880245746672799"/>
    <n v="0.792956416039727"/>
    <n v="0"/>
    <n v="0"/>
    <n v="0"/>
    <n v="5.6060309179808698E-2"/>
    <n v="3.9370412998868201"/>
    <n v="862.46629507406203"/>
    <n v="0"/>
    <n v="2.15616573768513"/>
    <n v="0"/>
    <n v="0"/>
    <n v="0"/>
    <n v="4.5648639516385299E-3"/>
    <n v="0.50069492677550298"/>
    <n v="3947.97949762484"/>
    <n v="0"/>
    <n v="0"/>
    <n v="0"/>
    <n v="0"/>
    <n v="0"/>
    <n v="0"/>
    <n v="0"/>
    <n v="0"/>
  </r>
  <r>
    <x v="0"/>
    <x v="2"/>
    <n v="2030"/>
    <s v="Bornholm"/>
    <x v="6"/>
    <x v="0"/>
    <x v="0"/>
    <x v="0"/>
    <n v="0"/>
    <n v="0"/>
    <s v="C1.0_E0.0"/>
    <n v="19.418457142284399"/>
    <n v="773.631332548611"/>
    <n v="68.462949783062896"/>
    <n v="77.363133254861097"/>
    <n v="0"/>
    <n v="0"/>
    <n v="0"/>
    <n v="0"/>
    <n v="145.82608303792401"/>
    <n v="76.663670673245903"/>
    <n v="0"/>
    <n v="3817.8507995279501"/>
    <n v="0"/>
    <n v="0"/>
    <n v="0"/>
    <n v="1.90215367666727"/>
    <n v="0.50069492677550298"/>
    <n v="3947.97949762484"/>
    <n v="1494.86192243561"/>
    <n v="0"/>
    <n v="1494.86192243561"/>
    <n v="0.18874519222672101"/>
    <n v="0"/>
    <n v="9.1849302283005304E-3"/>
    <n v="1.15971341266422E-6"/>
    <n v="0"/>
  </r>
  <r>
    <x v="0"/>
    <x v="3"/>
    <n v="2030"/>
    <s v="Bornholm"/>
    <x v="6"/>
    <x v="0"/>
    <x v="0"/>
    <x v="0"/>
    <n v="0"/>
    <n v="0"/>
    <s v="C1.0_E0.0"/>
    <n v="17.309055230271699"/>
    <n v="0"/>
    <n v="0"/>
    <n v="0"/>
    <n v="0"/>
    <n v="0"/>
    <n v="0"/>
    <n v="0"/>
    <n v="0"/>
    <n v="76.645161290317105"/>
    <n v="0"/>
    <n v="0"/>
    <n v="0"/>
    <n v="0"/>
    <n v="0"/>
    <n v="0"/>
    <n v="0.56157747668189895"/>
    <n v="4428.0384036367705"/>
    <n v="0"/>
    <n v="0"/>
    <n v="0"/>
    <n v="0"/>
    <n v="0"/>
    <n v="0"/>
    <n v="0"/>
    <n v="0"/>
  </r>
  <r>
    <x v="0"/>
    <x v="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5"/>
    <n v="2030"/>
    <s v="Bornholm"/>
    <x v="6"/>
    <x v="0"/>
    <x v="0"/>
    <x v="0"/>
    <n v="0"/>
    <n v="0"/>
    <s v="C1.0_E0.0"/>
    <n v="110.21916273960601"/>
    <n v="0"/>
    <n v="0"/>
    <n v="0"/>
    <n v="0"/>
    <n v="0"/>
    <n v="0"/>
    <n v="0"/>
    <n v="0"/>
    <n v="435.14299474136499"/>
    <n v="0"/>
    <n v="0"/>
    <n v="0"/>
    <n v="0"/>
    <n v="0"/>
    <n v="0"/>
    <n v="0.50069492677550298"/>
    <n v="3947.97949762484"/>
    <n v="0"/>
    <n v="0"/>
    <n v="0"/>
    <n v="0"/>
    <n v="0"/>
    <n v="0"/>
    <n v="0"/>
    <n v="0"/>
  </r>
  <r>
    <x v="0"/>
    <x v="6"/>
    <n v="2030"/>
    <s v="Bornholm"/>
    <x v="6"/>
    <x v="0"/>
    <x v="0"/>
    <x v="0"/>
    <n v="0"/>
    <n v="0"/>
    <s v="C1.0_E0.0"/>
    <n v="150.687227424127"/>
    <n v="0"/>
    <n v="0"/>
    <n v="0"/>
    <n v="0"/>
    <n v="0"/>
    <n v="0"/>
    <n v="0"/>
    <n v="0"/>
    <n v="594.910084424405"/>
    <n v="0"/>
    <n v="0"/>
    <n v="0"/>
    <n v="0"/>
    <n v="0"/>
    <n v="0"/>
    <n v="0.50069492677550298"/>
    <n v="3947.97949762484"/>
    <n v="0"/>
    <n v="0"/>
    <n v="0"/>
    <n v="0"/>
    <n v="0"/>
    <n v="0"/>
    <n v="0"/>
    <n v="0"/>
  </r>
  <r>
    <x v="0"/>
    <x v="7"/>
    <n v="2030"/>
    <s v="Bornholm"/>
    <x v="6"/>
    <x v="0"/>
    <x v="0"/>
    <x v="0"/>
    <n v="0"/>
    <n v="0"/>
    <s v="C1.0_E0.0"/>
    <n v="263.41860458677297"/>
    <n v="0"/>
    <n v="0"/>
    <n v="0"/>
    <n v="0"/>
    <n v="0"/>
    <n v="0"/>
    <n v="0"/>
    <n v="0"/>
    <n v="24.480931053507099"/>
    <n v="0"/>
    <n v="23.0120751902965"/>
    <n v="0"/>
    <n v="0"/>
    <n v="0"/>
    <n v="0"/>
    <n v="1.17863623430523E-2"/>
    <n v="92.935467074967605"/>
    <n v="0"/>
    <n v="0"/>
    <n v="0"/>
    <n v="0"/>
    <n v="0"/>
    <n v="0"/>
    <n v="0"/>
    <n v="0"/>
  </r>
  <r>
    <x v="0"/>
    <x v="8"/>
    <n v="2030"/>
    <s v="Bornholm"/>
    <x v="6"/>
    <x v="0"/>
    <x v="0"/>
    <x v="0"/>
    <n v="0"/>
    <n v="0"/>
    <s v="C1.0_E0.0"/>
    <n v="265.528006498786"/>
    <n v="0"/>
    <n v="0"/>
    <n v="0"/>
    <n v="0"/>
    <n v="0"/>
    <n v="0"/>
    <n v="0"/>
    <n v="0"/>
    <n v="24.462421670575601"/>
    <n v="0"/>
    <n v="0"/>
    <n v="0"/>
    <n v="0"/>
    <n v="0"/>
    <n v="0"/>
    <n v="1.16838888126456E-2"/>
    <n v="92.127463287710597"/>
    <n v="0"/>
    <n v="0"/>
    <n v="0"/>
    <n v="0"/>
    <n v="0"/>
    <n v="0"/>
    <n v="0"/>
    <n v="0"/>
  </r>
  <r>
    <x v="0"/>
    <x v="9"/>
    <n v="2030"/>
    <s v="Bornholm"/>
    <x v="6"/>
    <x v="0"/>
    <x v="0"/>
    <x v="0"/>
    <n v="0"/>
    <n v="0"/>
    <s v="C1.0_E0.0"/>
    <n v="205.659810348126"/>
    <n v="51.4149525870316"/>
    <n v="4.2028051767079102"/>
    <n v="1.54244857761094"/>
    <n v="0"/>
    <n v="0"/>
    <n v="0"/>
    <n v="0"/>
    <n v="5.7452537543188598"/>
    <n v="908.33089906866996"/>
    <n v="0"/>
    <n v="0"/>
    <n v="0"/>
    <n v="0"/>
    <n v="0"/>
    <n v="6.3250669554559703E-3"/>
    <n v="0.56013532113960895"/>
    <n v="4416.6670071858098"/>
    <n v="0.85406229326273697"/>
    <n v="0"/>
    <n v="0.85406229326273697"/>
    <n v="1.07836148139236E-4"/>
    <n v="0"/>
    <n v="0.205659810348126"/>
    <n v="2.59671477712284E-5"/>
    <n v="0"/>
  </r>
  <r>
    <x v="0"/>
    <x v="10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1"/>
    <n v="2030"/>
    <s v="Bornholm"/>
    <x v="6"/>
    <x v="0"/>
    <x v="0"/>
    <x v="0"/>
    <n v="0"/>
    <n v="0"/>
    <s v="C1.0_E0.0"/>
    <n v="1110.20583762563"/>
    <n v="2549.7163684076099"/>
    <n v="226.48476087116501"/>
    <n v="41.738974346941802"/>
    <n v="11.532872882304099"/>
    <n v="0"/>
    <n v="0"/>
    <n v="0"/>
    <n v="279.75660810041097"/>
    <n v="4096.1597261705201"/>
    <n v="0"/>
    <n v="0"/>
    <n v="0"/>
    <n v="0"/>
    <n v="0"/>
    <n v="6.82972898525014E-2"/>
    <n v="0.46792007609383501"/>
    <n v="3689.5497999998902"/>
    <n v="39639.355431562697"/>
    <n v="0"/>
    <n v="39639.355431562697"/>
    <n v="5.00496912014688"/>
    <n v="0"/>
    <n v="190.91099583810299"/>
    <n v="2.41049237169326E-2"/>
    <n v="0"/>
  </r>
  <r>
    <x v="0"/>
    <x v="12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3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5"/>
    <n v="2030"/>
    <s v="Bornholm"/>
    <x v="6"/>
    <x v="0"/>
    <x v="0"/>
    <x v="0"/>
    <n v="0"/>
    <n v="0"/>
    <s v="C1.0_E0.0"/>
    <n v="1011.4229076686599"/>
    <n v="0"/>
    <n v="0"/>
    <n v="0"/>
    <n v="0"/>
    <n v="0"/>
    <n v="0"/>
    <n v="0"/>
    <n v="0"/>
    <n v="59.664578443712401"/>
    <n v="0"/>
    <n v="0"/>
    <n v="0"/>
    <n v="0"/>
    <n v="0"/>
    <n v="0"/>
    <n v="7.4813865250728598E-3"/>
    <n v="58.990732750199498"/>
    <n v="0"/>
    <n v="0"/>
    <n v="0"/>
    <n v="0"/>
    <n v="0"/>
    <n v="0"/>
    <n v="0"/>
    <n v="0"/>
  </r>
  <r>
    <x v="0"/>
    <x v="16"/>
    <n v="2030"/>
    <s v="Bornholm"/>
    <x v="6"/>
    <x v="0"/>
    <x v="0"/>
    <x v="0"/>
    <n v="0"/>
    <n v="0"/>
    <s v="C1.0_E0.0"/>
    <n v="92.686255783995307"/>
    <n v="0"/>
    <n v="0"/>
    <n v="0"/>
    <n v="3.4972749827831502E-2"/>
    <n v="0"/>
    <n v="0"/>
    <n v="0"/>
    <n v="3.4972749827831502E-2"/>
    <n v="18.6320404490898"/>
    <n v="0"/>
    <n v="0.93160202245448898"/>
    <n v="0"/>
    <n v="0"/>
    <n v="0"/>
    <n v="1.8770219999999999E-3"/>
    <n v="2.54943170376766E-2"/>
    <n v="201.02268984208001"/>
    <n v="0"/>
    <n v="0"/>
    <n v="0"/>
    <n v="0"/>
    <n v="0"/>
    <n v="0"/>
    <n v="0"/>
    <n v="0"/>
  </r>
  <r>
    <x v="0"/>
    <x v="17"/>
    <n v="2030"/>
    <s v="Bornholm"/>
    <x v="6"/>
    <x v="0"/>
    <x v="0"/>
    <x v="0"/>
    <n v="0"/>
    <n v="0"/>
    <s v="C1.0_E0.0"/>
    <n v="277.037840184532"/>
    <n v="0"/>
    <n v="0"/>
    <n v="0"/>
    <n v="0"/>
    <n v="0"/>
    <n v="0"/>
    <n v="0"/>
    <n v="0"/>
    <n v="18.6320404490897"/>
    <n v="0"/>
    <n v="0.93160202245450097"/>
    <n v="0"/>
    <n v="0"/>
    <n v="0"/>
    <n v="0"/>
    <n v="8.5294225092805206E-3"/>
    <n v="67.254496485676896"/>
    <n v="0"/>
    <n v="0"/>
    <n v="0"/>
    <n v="0"/>
    <n v="0"/>
    <n v="0"/>
    <n v="0"/>
    <n v="0"/>
  </r>
  <r>
    <x v="0"/>
    <x v="18"/>
    <n v="2030"/>
    <s v="Bornholm"/>
    <x v="6"/>
    <x v="0"/>
    <x v="0"/>
    <x v="0"/>
    <n v="0"/>
    <n v="0"/>
    <s v="C1.0_E0.0"/>
    <n v="277.037840184532"/>
    <n v="49.866811233215699"/>
    <n v="5.0790448710701197"/>
    <n v="0.74800216849823598"/>
    <n v="0"/>
    <n v="0"/>
    <n v="0"/>
    <n v="0"/>
    <n v="5.8270470395683596"/>
    <n v="1041.4386421905399"/>
    <n v="0"/>
    <n v="0"/>
    <n v="0"/>
    <n v="0"/>
    <n v="0"/>
    <n v="5.5951899646356799E-3"/>
    <n v="0.476752410505213"/>
    <n v="3759.1927568336"/>
    <n v="290.63423012530097"/>
    <n v="0"/>
    <n v="290.63423012530097"/>
    <n v="3.6696241177437597E-2"/>
    <n v="0"/>
    <n v="4.8019892298652202E-3"/>
    <n v="6.0631177144763801E-7"/>
    <n v="0"/>
  </r>
  <r>
    <x v="0"/>
    <x v="0"/>
    <n v="2030"/>
    <s v="Bornholm"/>
    <x v="1"/>
    <x v="0"/>
    <x v="0"/>
    <x v="0"/>
    <n v="0"/>
    <n v="0"/>
    <s v="C1.0_E0.0"/>
    <n v="83.628262974111394"/>
    <n v="557.144868455606"/>
    <n v="49.304855615540298"/>
    <n v="22.285794738224201"/>
    <n v="0"/>
    <n v="0"/>
    <n v="0"/>
    <n v="0"/>
    <n v="71.590650353764502"/>
    <n v="425.80645161289601"/>
    <n v="0"/>
    <n v="191.612903225818"/>
    <n v="1.06833410660344"/>
    <n v="57.437317559325102"/>
    <n v="206.77434321357001"/>
    <n v="0.16812955764899501"/>
    <n v="0.645739664124927"/>
    <n v="5091.6572516250499"/>
    <n v="1266.9891387129601"/>
    <n v="0"/>
    <n v="1266.9891387129601"/>
    <n v="0.15997337610012299"/>
    <n v="4.66218018408156"/>
    <n v="0"/>
    <n v="0"/>
    <n v="2.0832041762820799E-2"/>
  </r>
  <r>
    <x v="0"/>
    <x v="1"/>
    <n v="2030"/>
    <s v="Bornholm"/>
    <x v="1"/>
    <x v="0"/>
    <x v="0"/>
    <x v="0"/>
    <n v="0"/>
    <n v="0"/>
    <s v="C1.0_E0.0"/>
    <n v="193.27424532323101"/>
    <n v="23.384861688272899"/>
    <n v="2.73204274943269"/>
    <n v="0.70154585064818797"/>
    <n v="0"/>
    <n v="0"/>
    <n v="0"/>
    <n v="5.6059618467151399E-2"/>
    <n v="3.4896482185480302"/>
    <n v="862.45566872531901"/>
    <n v="0"/>
    <n v="2.15613917181342"/>
    <n v="0"/>
    <n v="0"/>
    <n v="0"/>
    <n v="4.0461769167864699E-3"/>
    <n v="0.56592788988242904"/>
    <n v="4462.3414117229504"/>
    <n v="0"/>
    <n v="0"/>
    <n v="0"/>
    <n v="0"/>
    <n v="0"/>
    <n v="0"/>
    <n v="0"/>
    <n v="0"/>
  </r>
  <r>
    <x v="0"/>
    <x v="2"/>
    <n v="2030"/>
    <s v="Bornholm"/>
    <x v="1"/>
    <x v="0"/>
    <x v="0"/>
    <x v="0"/>
    <n v="0"/>
    <n v="0"/>
    <s v="C1.0_E0.0"/>
    <n v="17.179932917620501"/>
    <n v="684.44852743800197"/>
    <n v="60.570666144955901"/>
    <n v="68.444852743800197"/>
    <n v="0"/>
    <n v="0"/>
    <n v="0"/>
    <n v="0"/>
    <n v="129.01551888875599"/>
    <n v="76.662726108918804"/>
    <n v="0"/>
    <n v="3817.8037602238101"/>
    <n v="0"/>
    <n v="0"/>
    <n v="0"/>
    <n v="1.68289761448682"/>
    <n v="0.56592788988242904"/>
    <n v="4462.3414117229504"/>
    <n v="1322.5369739919399"/>
    <n v="0"/>
    <n v="1322.5369739919399"/>
    <n v="0.16698699166565101"/>
    <n v="0"/>
    <n v="8.1261082700345103E-3"/>
    <n v="1.0260237714690099E-6"/>
    <n v="0"/>
  </r>
  <r>
    <x v="0"/>
    <x v="3"/>
    <n v="2030"/>
    <s v="Bornholm"/>
    <x v="1"/>
    <x v="0"/>
    <x v="0"/>
    <x v="0"/>
    <n v="0"/>
    <n v="0"/>
    <s v="C1.0_E0.0"/>
    <n v="15.053087335340001"/>
    <n v="0"/>
    <n v="0"/>
    <n v="0"/>
    <n v="0"/>
    <n v="0"/>
    <n v="0"/>
    <n v="0"/>
    <n v="0"/>
    <n v="76.645161290325802"/>
    <n v="0"/>
    <n v="0"/>
    <n v="0"/>
    <n v="0"/>
    <n v="0"/>
    <n v="0"/>
    <n v="0.645739664124927"/>
    <n v="5091.6572516250499"/>
    <n v="0"/>
    <n v="0"/>
    <n v="0"/>
    <n v="0"/>
    <n v="0"/>
    <n v="0"/>
    <n v="0"/>
    <n v="0"/>
  </r>
  <r>
    <x v="0"/>
    <x v="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5"/>
    <n v="2030"/>
    <s v="Bornholm"/>
    <x v="1"/>
    <x v="0"/>
    <x v="0"/>
    <x v="0"/>
    <n v="0"/>
    <n v="0"/>
    <s v="C1.0_E0.0"/>
    <n v="97.513299240414099"/>
    <n v="0"/>
    <n v="0"/>
    <n v="0"/>
    <n v="0"/>
    <n v="0"/>
    <n v="0"/>
    <n v="0"/>
    <n v="0"/>
    <n v="435.137633394224"/>
    <n v="0"/>
    <n v="0"/>
    <n v="0"/>
    <n v="0"/>
    <n v="0"/>
    <n v="0"/>
    <n v="0.56592788988242904"/>
    <n v="4462.3414117229504"/>
    <n v="0"/>
    <n v="0"/>
    <n v="0"/>
    <n v="0"/>
    <n v="0"/>
    <n v="0"/>
    <n v="0"/>
    <n v="0"/>
  </r>
  <r>
    <x v="0"/>
    <x v="6"/>
    <n v="2030"/>
    <s v="Bornholm"/>
    <x v="1"/>
    <x v="0"/>
    <x v="0"/>
    <x v="0"/>
    <n v="0"/>
    <n v="0"/>
    <s v="C1.0_E0.0"/>
    <n v="133.316279440735"/>
    <n v="0"/>
    <n v="0"/>
    <n v="0"/>
    <n v="0"/>
    <n v="0"/>
    <n v="0"/>
    <n v="0"/>
    <n v="0"/>
    <n v="594.90275460524595"/>
    <n v="0"/>
    <n v="0"/>
    <n v="0"/>
    <n v="0"/>
    <n v="0"/>
    <n v="0"/>
    <n v="0.56592788988242904"/>
    <n v="4462.3414117229504"/>
    <n v="0"/>
    <n v="0"/>
    <n v="0"/>
    <n v="0"/>
    <n v="0"/>
    <n v="0"/>
    <n v="0"/>
    <n v="0"/>
  </r>
  <r>
    <x v="0"/>
    <x v="7"/>
    <n v="2030"/>
    <s v="Bornholm"/>
    <x v="1"/>
    <x v="0"/>
    <x v="0"/>
    <x v="0"/>
    <n v="0"/>
    <n v="0"/>
    <s v="C1.0_E0.0"/>
    <n v="928.43188572175802"/>
    <n v="0"/>
    <n v="0"/>
    <n v="0"/>
    <n v="0"/>
    <n v="0"/>
    <n v="0"/>
    <n v="0"/>
    <n v="0"/>
    <n v="20.251947185834201"/>
    <n v="0"/>
    <n v="19.0368303546846"/>
    <n v="0"/>
    <n v="0"/>
    <n v="0"/>
    <n v="0"/>
    <n v="2.7664004156639698E-3"/>
    <n v="21.813067277510399"/>
    <n v="0"/>
    <n v="0"/>
    <n v="0"/>
    <n v="0"/>
    <n v="0"/>
    <n v="0"/>
    <n v="0"/>
    <n v="0"/>
  </r>
  <r>
    <x v="0"/>
    <x v="8"/>
    <n v="2030"/>
    <s v="Bornholm"/>
    <x v="1"/>
    <x v="0"/>
    <x v="0"/>
    <x v="0"/>
    <n v="0"/>
    <n v="0"/>
    <s v="C1.0_E0.0"/>
    <n v="943.48497305709805"/>
    <n v="0"/>
    <n v="0"/>
    <n v="0"/>
    <n v="0"/>
    <n v="0"/>
    <n v="0"/>
    <n v="0"/>
    <n v="0"/>
    <n v="20.234382367243601"/>
    <n v="0"/>
    <n v="0"/>
    <n v="0"/>
    <n v="0"/>
    <n v="0"/>
    <n v="0"/>
    <n v="2.7199020688547602E-3"/>
    <n v="21.446427812919801"/>
    <n v="0"/>
    <n v="0"/>
    <n v="0"/>
    <n v="0"/>
    <n v="0"/>
    <n v="0"/>
    <n v="0"/>
    <n v="0"/>
  </r>
  <r>
    <x v="0"/>
    <x v="9"/>
    <n v="2030"/>
    <s v="Bornholm"/>
    <x v="1"/>
    <x v="0"/>
    <x v="0"/>
    <x v="0"/>
    <n v="0"/>
    <n v="0"/>
    <s v="C1.0_E0.0"/>
    <n v="195.16465100984399"/>
    <n v="48.791162752461098"/>
    <n v="3.98832909641472"/>
    <n v="1.4637348825738301"/>
    <n v="0"/>
    <n v="0"/>
    <n v="0"/>
    <n v="0"/>
    <n v="5.4520639789885603"/>
    <n v="851.84327340789696"/>
    <n v="0"/>
    <n v="0"/>
    <n v="0"/>
    <n v="0"/>
    <n v="0"/>
    <n v="6.4003134721918303E-3"/>
    <n v="0.55354998246838405"/>
    <n v="4364.7416117632101"/>
    <n v="0.81047808574334701"/>
    <n v="0"/>
    <n v="0.81047808574334701"/>
    <n v="1.02333091634262E-4"/>
    <n v="0"/>
    <n v="0.19516465100984401"/>
    <n v="2.46420013901322E-5"/>
    <n v="0"/>
  </r>
  <r>
    <x v="0"/>
    <x v="10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1"/>
    <n v="2030"/>
    <s v="Bornholm"/>
    <x v="1"/>
    <x v="0"/>
    <x v="0"/>
    <x v="0"/>
    <n v="0"/>
    <n v="0"/>
    <s v="C1.0_E0.0"/>
    <n v="958.27230622821298"/>
    <n v="2200.78340590179"/>
    <n v="195.48994138755501"/>
    <n v="36.026925684867003"/>
    <n v="11.4257284836634"/>
    <n v="0"/>
    <n v="0"/>
    <n v="0"/>
    <n v="242.94259555608599"/>
    <n v="4058.10497822767"/>
    <n v="0"/>
    <n v="0"/>
    <n v="0"/>
    <n v="0"/>
    <n v="0"/>
    <n v="5.9866020435525497E-2"/>
    <n v="0.53707216233352595"/>
    <n v="4234.8139999998502"/>
    <n v="34214.643140448301"/>
    <n v="0"/>
    <n v="34214.643140448301"/>
    <n v="4.3200306995516096"/>
    <n v="0"/>
    <n v="164.78450577900301"/>
    <n v="2.0806124467046199E-2"/>
    <n v="0"/>
  </r>
  <r>
    <x v="0"/>
    <x v="12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3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5"/>
    <n v="2030"/>
    <s v="Bornholm"/>
    <x v="1"/>
    <x v="0"/>
    <x v="0"/>
    <x v="0"/>
    <n v="0"/>
    <n v="0"/>
    <s v="C1.0_E0.0"/>
    <n v="537.36635117569904"/>
    <n v="0"/>
    <n v="0"/>
    <n v="0"/>
    <n v="0"/>
    <n v="0"/>
    <n v="0"/>
    <n v="0"/>
    <n v="0"/>
    <n v="26.5669188975303"/>
    <n v="0"/>
    <n v="0"/>
    <n v="0"/>
    <n v="0"/>
    <n v="0"/>
    <n v="0"/>
    <n v="6.2700214130775598E-3"/>
    <n v="49.439118842116599"/>
    <n v="0"/>
    <n v="0"/>
    <n v="0"/>
    <n v="0"/>
    <n v="0"/>
    <n v="0"/>
    <n v="0"/>
    <n v="0"/>
  </r>
  <r>
    <x v="0"/>
    <x v="16"/>
    <n v="2030"/>
    <s v="Bornholm"/>
    <x v="1"/>
    <x v="0"/>
    <x v="0"/>
    <x v="0"/>
    <n v="0"/>
    <n v="0"/>
    <s v="C1.0_E0.0"/>
    <n v="99.913788041078305"/>
    <n v="0"/>
    <n v="0"/>
    <n v="0"/>
    <n v="1.74267669145176E-2"/>
    <n v="0"/>
    <n v="0"/>
    <n v="0"/>
    <n v="1.74267669145176E-2"/>
    <n v="9.2842635379434402"/>
    <n v="0"/>
    <n v="0.46421317689717101"/>
    <n v="0"/>
    <n v="0"/>
    <n v="0"/>
    <n v="1.8770219999999899E-3"/>
    <n v="1.17847490043065E-2"/>
    <n v="92.922745898957402"/>
    <n v="0"/>
    <n v="0"/>
    <n v="0"/>
    <n v="0"/>
    <n v="0"/>
    <n v="0"/>
    <n v="0"/>
    <n v="0"/>
  </r>
  <r>
    <x v="0"/>
    <x v="17"/>
    <n v="2030"/>
    <s v="Bornholm"/>
    <x v="1"/>
    <x v="0"/>
    <x v="0"/>
    <x v="0"/>
    <n v="0"/>
    <n v="0"/>
    <s v="C1.0_E0.0"/>
    <n v="113.89749548898099"/>
    <n v="0"/>
    <n v="0"/>
    <n v="0"/>
    <n v="0"/>
    <n v="0"/>
    <n v="0"/>
    <n v="0"/>
    <n v="0"/>
    <n v="9.2842635379434295"/>
    <n v="0"/>
    <n v="0.46421317689717101"/>
    <n v="0"/>
    <n v="0"/>
    <n v="0"/>
    <n v="0"/>
    <n v="1.0337882401000699E-2"/>
    <n v="81.514202731891004"/>
    <n v="0"/>
    <n v="0"/>
    <n v="0"/>
    <n v="0"/>
    <n v="0"/>
    <n v="0"/>
    <n v="0"/>
    <n v="0"/>
  </r>
  <r>
    <x v="0"/>
    <x v="18"/>
    <n v="2030"/>
    <s v="Bornholm"/>
    <x v="1"/>
    <x v="0"/>
    <x v="0"/>
    <x v="0"/>
    <n v="0"/>
    <n v="0"/>
    <s v="C1.0_E0.0"/>
    <n v="113.89749548898099"/>
    <n v="20.5015491880166"/>
    <n v="2.0881280690959598"/>
    <n v="0.30752323782024898"/>
    <n v="0"/>
    <n v="0"/>
    <n v="0"/>
    <n v="0"/>
    <n v="2.3956513069162102"/>
    <n v="455.61343973210802"/>
    <n v="0"/>
    <n v="0"/>
    <n v="0"/>
    <n v="0"/>
    <n v="0"/>
    <n v="5.2580786649419299E-3"/>
    <n v="0.50731844707084295"/>
    <n v="4000.2059551535999"/>
    <n v="119.487326686458"/>
    <n v="0"/>
    <n v="119.487326686458"/>
    <n v="1.50867836725328E-2"/>
    <n v="0"/>
    <n v="1.9742232551423402E-3"/>
    <n v="2.4927061302302602E-7"/>
    <n v="0"/>
  </r>
  <r>
    <x v="0"/>
    <x v="0"/>
    <n v="2030"/>
    <s v="Bornholm"/>
    <x v="2"/>
    <x v="0"/>
    <x v="0"/>
    <x v="0"/>
    <n v="0"/>
    <n v="0"/>
    <s v="C1.0_E0.0"/>
    <n v="93.714204554132607"/>
    <n v="624.33902501236003"/>
    <n v="55.251241151536298"/>
    <n v="24.973561000494399"/>
    <n v="0"/>
    <n v="0"/>
    <n v="0"/>
    <n v="0"/>
    <n v="80.224802152030705"/>
    <n v="425.80645161289402"/>
    <n v="0"/>
    <n v="191.612903225808"/>
    <n v="1.2268764852949201"/>
    <n v="65.961101359942404"/>
    <n v="237.45996489579201"/>
    <n v="0.18840673232674199"/>
    <n v="0.57624227512972004"/>
    <n v="4543.6703393978396"/>
    <n v="1419.7936808751699"/>
    <n v="0"/>
    <n v="1419.7936808751699"/>
    <n v="0.179266878898384"/>
    <n v="5.4134966510267599"/>
    <n v="0"/>
    <n v="0"/>
    <n v="2.4214171491229699E-2"/>
  </r>
  <r>
    <x v="0"/>
    <x v="1"/>
    <n v="2030"/>
    <s v="Bornholm"/>
    <x v="2"/>
    <x v="0"/>
    <x v="0"/>
    <x v="0"/>
    <n v="0"/>
    <n v="0"/>
    <s v="C1.0_E0.0"/>
    <n v="220.47583712286601"/>
    <n v="26.6760682371408"/>
    <n v="3.1165529128273799"/>
    <n v="0.80028204711422601"/>
    <n v="0"/>
    <n v="0"/>
    <n v="0"/>
    <n v="5.6062954723682203E-2"/>
    <n v="3.9728979146652899"/>
    <n v="862.50699574898499"/>
    <n v="0"/>
    <n v="2.1562674893723002"/>
    <n v="0"/>
    <n v="0"/>
    <n v="0"/>
    <n v="4.6062210906652398E-3"/>
    <n v="0.49613507177545502"/>
    <n v="3912.0250409494602"/>
    <n v="0"/>
    <n v="0"/>
    <n v="0"/>
    <n v="0"/>
    <n v="0"/>
    <n v="0"/>
    <n v="0"/>
    <n v="0"/>
  </r>
  <r>
    <x v="0"/>
    <x v="2"/>
    <n v="2030"/>
    <s v="Bornholm"/>
    <x v="2"/>
    <x v="0"/>
    <x v="0"/>
    <x v="0"/>
    <n v="0"/>
    <n v="0"/>
    <s v="C1.0_E0.0"/>
    <n v="19.5978521886992"/>
    <n v="780.77843119777697"/>
    <n v="69.095436389183803"/>
    <n v="78.077843119777697"/>
    <n v="0"/>
    <n v="0"/>
    <n v="0"/>
    <n v="0"/>
    <n v="147.173279508961"/>
    <n v="76.667288511018697"/>
    <n v="0"/>
    <n v="3818.0309678487602"/>
    <n v="0"/>
    <n v="0"/>
    <n v="0"/>
    <n v="1.9196359016637099"/>
    <n v="0.49613507177545502"/>
    <n v="3912.0250409494602"/>
    <n v="1508.67202186802"/>
    <n v="0"/>
    <n v="1508.67202186802"/>
    <n v="0.19048889165000699"/>
    <n v="0"/>
    <n v="9.26978408525473E-3"/>
    <n v="1.1704272834917799E-6"/>
    <n v="0"/>
  </r>
  <r>
    <x v="0"/>
    <x v="3"/>
    <n v="2030"/>
    <s v="Bornholm"/>
    <x v="2"/>
    <x v="0"/>
    <x v="0"/>
    <x v="0"/>
    <n v="0"/>
    <n v="0"/>
    <s v="C1.0_E0.0"/>
    <n v="16.868556819743802"/>
    <n v="0"/>
    <n v="0"/>
    <n v="0"/>
    <n v="0"/>
    <n v="0"/>
    <n v="0"/>
    <n v="0"/>
    <n v="0"/>
    <n v="76.645161290313595"/>
    <n v="0"/>
    <n v="0"/>
    <n v="0"/>
    <n v="0"/>
    <n v="0"/>
    <n v="0"/>
    <n v="0.57624227512972004"/>
    <n v="4543.6703393978396"/>
    <n v="0"/>
    <n v="0"/>
    <n v="0"/>
    <n v="0"/>
    <n v="0"/>
    <n v="0"/>
    <n v="0"/>
    <n v="0"/>
  </r>
  <r>
    <x v="0"/>
    <x v="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5"/>
    <n v="2030"/>
    <s v="Bornholm"/>
    <x v="2"/>
    <x v="0"/>
    <x v="0"/>
    <x v="0"/>
    <n v="0"/>
    <n v="0"/>
    <s v="C1.0_E0.0"/>
    <n v="111.237409023056"/>
    <n v="0"/>
    <n v="0"/>
    <n v="0"/>
    <n v="0"/>
    <n v="0"/>
    <n v="0"/>
    <n v="0"/>
    <n v="0"/>
    <n v="435.16352958852298"/>
    <n v="0"/>
    <n v="0"/>
    <n v="0"/>
    <n v="0"/>
    <n v="0"/>
    <n v="0"/>
    <n v="0.49613507177545502"/>
    <n v="3912.0250409494602"/>
    <n v="0"/>
    <n v="0"/>
    <n v="0"/>
    <n v="0"/>
    <n v="0"/>
    <n v="0"/>
    <n v="0"/>
    <n v="0"/>
  </r>
  <r>
    <x v="0"/>
    <x v="6"/>
    <n v="2030"/>
    <s v="Bornholm"/>
    <x v="2"/>
    <x v="0"/>
    <x v="0"/>
    <x v="0"/>
    <n v="0"/>
    <n v="0"/>
    <s v="C1.0_E0.0"/>
    <n v="152.07933298430501"/>
    <n v="0"/>
    <n v="0"/>
    <n v="0"/>
    <n v="0"/>
    <n v="0"/>
    <n v="0"/>
    <n v="0"/>
    <n v="0"/>
    <n v="594.93815884551304"/>
    <n v="0"/>
    <n v="0"/>
    <n v="0"/>
    <n v="0"/>
    <n v="0"/>
    <n v="0"/>
    <n v="0.49613507177545502"/>
    <n v="3912.0250409494602"/>
    <n v="0"/>
    <n v="0"/>
    <n v="0"/>
    <n v="0"/>
    <n v="0"/>
    <n v="0"/>
    <n v="0"/>
    <n v="0"/>
  </r>
  <r>
    <x v="0"/>
    <x v="7"/>
    <n v="2030"/>
    <s v="Bornholm"/>
    <x v="2"/>
    <x v="0"/>
    <x v="0"/>
    <x v="0"/>
    <n v="0"/>
    <n v="0"/>
    <s v="C1.0_E0.0"/>
    <n v="1044.46594565805"/>
    <n v="0"/>
    <n v="0"/>
    <n v="0"/>
    <n v="0"/>
    <n v="0"/>
    <n v="0"/>
    <n v="0"/>
    <n v="0"/>
    <n v="16.707255957153201"/>
    <n v="0"/>
    <n v="15.7048205997254"/>
    <n v="0"/>
    <n v="0"/>
    <n v="0"/>
    <n v="0"/>
    <n v="2.0286594289941101E-3"/>
    <n v="15.9959795976186"/>
    <n v="0"/>
    <n v="0"/>
    <n v="0"/>
    <n v="0"/>
    <n v="0"/>
    <n v="0"/>
    <n v="0"/>
    <n v="0"/>
  </r>
  <r>
    <x v="0"/>
    <x v="8"/>
    <n v="2030"/>
    <s v="Bornholm"/>
    <x v="2"/>
    <x v="0"/>
    <x v="0"/>
    <x v="0"/>
    <n v="0"/>
    <n v="0"/>
    <s v="C1.0_E0.0"/>
    <n v="1061.33450247779"/>
    <n v="0"/>
    <n v="0"/>
    <n v="0"/>
    <n v="0"/>
    <n v="0"/>
    <n v="0"/>
    <n v="0"/>
    <n v="0"/>
    <n v="16.685128736455098"/>
    <n v="0"/>
    <n v="0"/>
    <n v="0"/>
    <n v="0"/>
    <n v="0"/>
    <n v="0"/>
    <n v="1.9937724079087801E-3"/>
    <n v="15.720895436360699"/>
    <n v="0"/>
    <n v="0"/>
    <n v="0"/>
    <n v="0"/>
    <n v="0"/>
    <n v="0"/>
    <n v="0"/>
    <n v="0"/>
  </r>
  <r>
    <x v="0"/>
    <x v="9"/>
    <n v="2030"/>
    <s v="Bornholm"/>
    <x v="2"/>
    <x v="0"/>
    <x v="0"/>
    <x v="0"/>
    <n v="0"/>
    <n v="0"/>
    <s v="C1.0_E0.0"/>
    <n v="245.858007765178"/>
    <n v="61.4645019412945"/>
    <n v="5.0242840641615798"/>
    <n v="1.8439350582388301"/>
    <n v="0"/>
    <n v="0"/>
    <n v="0"/>
    <n v="0"/>
    <n v="6.8682191224004203"/>
    <n v="1061.7286431503001"/>
    <n v="0"/>
    <n v="0"/>
    <n v="0"/>
    <n v="0"/>
    <n v="0"/>
    <n v="6.4689025455896302E-3"/>
    <n v="0.54768075192899701"/>
    <n v="4318.4627289601403"/>
    <n v="1.0209970220895299"/>
    <n v="0"/>
    <n v="1.0209970220895299"/>
    <n v="1.28913765415348E-4"/>
    <n v="0"/>
    <n v="0.24585800776517799"/>
    <n v="3.1042677748129102E-5"/>
    <n v="0"/>
  </r>
  <r>
    <x v="0"/>
    <x v="10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1"/>
    <n v="2030"/>
    <s v="Bornholm"/>
    <x v="2"/>
    <x v="0"/>
    <x v="0"/>
    <x v="0"/>
    <n v="0"/>
    <n v="0"/>
    <s v="C1.0_E0.0"/>
    <n v="1113.7365466259801"/>
    <n v="2557.8250508025199"/>
    <n v="227.20503431645699"/>
    <n v="41.871713851093098"/>
    <n v="11.460410491901399"/>
    <n v="0"/>
    <n v="0"/>
    <n v="0"/>
    <n v="280.53715865945202"/>
    <n v="4070.4230750985098"/>
    <n v="0"/>
    <n v="0"/>
    <n v="0"/>
    <n v="0"/>
    <n v="0"/>
    <n v="6.8920884508464203E-2"/>
    <n v="0.46350602409637298"/>
    <n v="3654.7449999998998"/>
    <n v="39765.417666372901"/>
    <n v="0"/>
    <n v="39765.417666372901"/>
    <n v="5.0208860689865702"/>
    <n v="0"/>
    <n v="191.51813655780401"/>
    <n v="2.4181582898713101E-2"/>
    <n v="0"/>
  </r>
  <r>
    <x v="0"/>
    <x v="12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3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5"/>
    <n v="2030"/>
    <s v="Bornholm"/>
    <x v="2"/>
    <x v="0"/>
    <x v="0"/>
    <x v="0"/>
    <n v="0"/>
    <n v="0"/>
    <s v="C1.0_E0.0"/>
    <n v="447.34111107398002"/>
    <n v="0"/>
    <n v="0"/>
    <n v="0"/>
    <n v="0"/>
    <n v="0"/>
    <n v="0"/>
    <n v="0"/>
    <n v="0"/>
    <n v="41.485602668865504"/>
    <n v="0"/>
    <n v="0"/>
    <n v="0"/>
    <n v="0"/>
    <n v="0"/>
    <n v="0"/>
    <n v="1.1761342408707401E-2"/>
    <n v="92.738184892657799"/>
    <n v="0"/>
    <n v="0"/>
    <n v="0"/>
    <n v="0"/>
    <n v="0"/>
    <n v="0"/>
    <n v="0"/>
    <n v="0"/>
  </r>
  <r>
    <x v="0"/>
    <x v="16"/>
    <n v="2030"/>
    <s v="Bornholm"/>
    <x v="2"/>
    <x v="0"/>
    <x v="0"/>
    <x v="0"/>
    <n v="0"/>
    <n v="0"/>
    <s v="C1.0_E0.0"/>
    <n v="103.70875108875499"/>
    <n v="0"/>
    <n v="0"/>
    <n v="0"/>
    <n v="2.68885891554961E-2"/>
    <n v="0"/>
    <n v="0"/>
    <n v="0"/>
    <n v="2.68885891554961E-2"/>
    <n v="14.325132659870899"/>
    <n v="0"/>
    <n v="0.71625663299354303"/>
    <n v="0"/>
    <n v="0"/>
    <n v="0"/>
    <n v="1.8770219999999899E-3"/>
    <n v="1.7517880140862498E-2"/>
    <n v="138.12848491070099"/>
    <n v="0"/>
    <n v="0"/>
    <n v="0"/>
    <n v="0"/>
    <n v="0"/>
    <n v="0"/>
    <n v="0"/>
    <n v="0"/>
  </r>
  <r>
    <x v="0"/>
    <x v="17"/>
    <n v="2030"/>
    <s v="Bornholm"/>
    <x v="2"/>
    <x v="0"/>
    <x v="0"/>
    <x v="0"/>
    <n v="0"/>
    <n v="0"/>
    <s v="C1.0_E0.0"/>
    <n v="171.56889698673999"/>
    <n v="0"/>
    <n v="0"/>
    <n v="0"/>
    <n v="0"/>
    <n v="0"/>
    <n v="0"/>
    <n v="0"/>
    <n v="0"/>
    <n v="14.3251326598708"/>
    <n v="0"/>
    <n v="0.71625663299354403"/>
    <n v="0"/>
    <n v="0"/>
    <n v="0"/>
    <n v="0"/>
    <n v="1.0589084053339699E-2"/>
    <n v="83.494927760584105"/>
    <n v="0"/>
    <n v="0"/>
    <n v="0"/>
    <n v="0"/>
    <n v="0"/>
    <n v="0"/>
    <n v="0"/>
    <n v="0"/>
  </r>
  <r>
    <x v="0"/>
    <x v="18"/>
    <n v="2030"/>
    <s v="Bornholm"/>
    <x v="2"/>
    <x v="0"/>
    <x v="0"/>
    <x v="0"/>
    <n v="0"/>
    <n v="0"/>
    <s v="C1.0_E0.0"/>
    <n v="171.56889698673999"/>
    <n v="30.882401457613199"/>
    <n v="3.1454408022211902"/>
    <n v="0.46323602186419799"/>
    <n v="0"/>
    <n v="0"/>
    <n v="0"/>
    <n v="0"/>
    <n v="3.6086768240853901"/>
    <n v="654.60480370480104"/>
    <n v="0"/>
    <n v="0"/>
    <n v="0"/>
    <n v="0"/>
    <n v="0"/>
    <n v="5.5127564045691704E-3"/>
    <n v="0.48388140289743897"/>
    <n v="3815.4048618462998"/>
    <n v="179.98910999296899"/>
    <n v="0"/>
    <n v="179.98910999296899"/>
    <n v="2.2725897726385499E-2"/>
    <n v="0"/>
    <n v="2.9738608811034901E-3"/>
    <n v="3.7548748498782201E-7"/>
    <n v="0"/>
  </r>
  <r>
    <x v="0"/>
    <x v="0"/>
    <n v="2030"/>
    <s v="Bornholm"/>
    <x v="3"/>
    <x v="0"/>
    <x v="0"/>
    <x v="0"/>
    <n v="0"/>
    <n v="0"/>
    <s v="C1.0_E0.0"/>
    <n v="84.841699480269796"/>
    <n v="565.22897660947399"/>
    <n v="50.020263416767598"/>
    <n v="22.6091590643789"/>
    <n v="0"/>
    <n v="0"/>
    <n v="0"/>
    <n v="0"/>
    <n v="72.629422481146605"/>
    <n v="425.80645161289902"/>
    <n v="0"/>
    <n v="191.61290322580001"/>
    <n v="1.08030687315644"/>
    <n v="58.081014685830198"/>
    <n v="209.09165286898801"/>
    <n v="0.170569098251179"/>
    <n v="0.63650406315589603"/>
    <n v="5018.8345379842403"/>
    <n v="1285.3730058309"/>
    <n v="0"/>
    <n v="1285.3730058309"/>
    <n v="0.16229457144329701"/>
    <n v="4.7486835027368102"/>
    <n v="0"/>
    <n v="0"/>
    <n v="2.1250156794580598E-2"/>
  </r>
  <r>
    <x v="0"/>
    <x v="1"/>
    <n v="2030"/>
    <s v="Bornholm"/>
    <x v="3"/>
    <x v="0"/>
    <x v="0"/>
    <x v="0"/>
    <n v="0"/>
    <n v="0"/>
    <s v="C1.0_E0.0"/>
    <n v="195.31699761637501"/>
    <n v="23.6320207433177"/>
    <n v="2.76091822936039"/>
    <n v="0.70896062229953205"/>
    <n v="0"/>
    <n v="0"/>
    <n v="0"/>
    <n v="5.6056750241931998E-2"/>
    <n v="3.52593560190186"/>
    <n v="862.41154218357099"/>
    <n v="0"/>
    <n v="2.1560288554588598"/>
    <n v="0"/>
    <n v="0"/>
    <n v="0"/>
    <n v="4.0884605892152299E-3"/>
    <n v="0.55998039543489997"/>
    <n v="4415.4454180041803"/>
    <n v="0"/>
    <n v="0"/>
    <n v="0"/>
    <n v="0"/>
    <n v="0"/>
    <n v="0"/>
    <n v="0"/>
    <n v="0"/>
  </r>
  <r>
    <x v="0"/>
    <x v="2"/>
    <n v="2030"/>
    <s v="Bornholm"/>
    <x v="3"/>
    <x v="0"/>
    <x v="0"/>
    <x v="0"/>
    <n v="0"/>
    <n v="0"/>
    <s v="C1.0_E0.0"/>
    <n v="17.361510899233298"/>
    <n v="691.68259422545805"/>
    <n v="61.210849046500698"/>
    <n v="69.168259422545802"/>
    <n v="0"/>
    <n v="0"/>
    <n v="0"/>
    <n v="0"/>
    <n v="130.379108469046"/>
    <n v="76.658803749648001"/>
    <n v="0"/>
    <n v="3817.6084267328201"/>
    <n v="0"/>
    <n v="0"/>
    <n v="0"/>
    <n v="1.70077149775044"/>
    <n v="0.55998039543489997"/>
    <n v="4415.4454180041803"/>
    <n v="1336.51511904625"/>
    <n v="0"/>
    <n v="1336.51511904625"/>
    <n v="0.168751908970487"/>
    <n v="0"/>
    <n v="8.2119946553373905E-3"/>
    <n v="1.03686801203755E-6"/>
    <n v="0"/>
  </r>
  <r>
    <x v="0"/>
    <x v="3"/>
    <n v="2030"/>
    <s v="Bornholm"/>
    <x v="3"/>
    <x v="0"/>
    <x v="0"/>
    <x v="0"/>
    <n v="0"/>
    <n v="0"/>
    <s v="C1.0_E0.0"/>
    <n v="15.2715059064485"/>
    <n v="0"/>
    <n v="0"/>
    <n v="0"/>
    <n v="0"/>
    <n v="0"/>
    <n v="0"/>
    <n v="0"/>
    <n v="0"/>
    <n v="76.645161290311293"/>
    <n v="0"/>
    <n v="0"/>
    <n v="0"/>
    <n v="0"/>
    <n v="0"/>
    <n v="0"/>
    <n v="0.63650406315589603"/>
    <n v="5018.8345379842403"/>
    <n v="0"/>
    <n v="0"/>
    <n v="0"/>
    <n v="0"/>
    <n v="0"/>
    <n v="0"/>
    <n v="0"/>
    <n v="0"/>
  </r>
  <r>
    <x v="0"/>
    <x v="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5"/>
    <n v="2030"/>
    <s v="Bornholm"/>
    <x v="3"/>
    <x v="0"/>
    <x v="0"/>
    <x v="0"/>
    <n v="0"/>
    <n v="0"/>
    <s v="C1.0_E0.0"/>
    <n v="98.543935864048706"/>
    <n v="0"/>
    <n v="0"/>
    <n v="0"/>
    <n v="0"/>
    <n v="0"/>
    <n v="0"/>
    <n v="0"/>
    <n v="0"/>
    <n v="435.11537008300797"/>
    <n v="0"/>
    <n v="0"/>
    <n v="0"/>
    <n v="0"/>
    <n v="0"/>
    <n v="0"/>
    <n v="0.55998039543489997"/>
    <n v="4415.4454180041803"/>
    <n v="0"/>
    <n v="0"/>
    <n v="0"/>
    <n v="0"/>
    <n v="0"/>
    <n v="0"/>
    <n v="0"/>
    <n v="0"/>
  </r>
  <r>
    <x v="0"/>
    <x v="6"/>
    <n v="2030"/>
    <s v="Bornholm"/>
    <x v="3"/>
    <x v="0"/>
    <x v="0"/>
    <x v="0"/>
    <n v="0"/>
    <n v="0"/>
    <s v="C1.0_E0.0"/>
    <n v="134.72532457805099"/>
    <n v="0"/>
    <n v="0"/>
    <n v="0"/>
    <n v="0"/>
    <n v="0"/>
    <n v="0"/>
    <n v="0"/>
    <n v="0"/>
    <n v="594.872317097277"/>
    <n v="0"/>
    <n v="0"/>
    <n v="0"/>
    <n v="0"/>
    <n v="0"/>
    <n v="0"/>
    <n v="0.55998039543489997"/>
    <n v="4415.4454180041803"/>
    <n v="0"/>
    <n v="0"/>
    <n v="0"/>
    <n v="0"/>
    <n v="0"/>
    <n v="0"/>
    <n v="0"/>
    <n v="0"/>
  </r>
  <r>
    <x v="0"/>
    <x v="7"/>
    <n v="2030"/>
    <s v="Bornholm"/>
    <x v="3"/>
    <x v="0"/>
    <x v="0"/>
    <x v="0"/>
    <n v="0"/>
    <n v="0"/>
    <s v="C1.0_E0.0"/>
    <n v="947.57295481994595"/>
    <n v="0"/>
    <n v="0"/>
    <n v="0"/>
    <n v="0"/>
    <n v="0"/>
    <n v="0"/>
    <n v="0"/>
    <n v="0"/>
    <n v="20.275399132918601"/>
    <n v="0"/>
    <n v="19.0588751849434"/>
    <n v="0"/>
    <n v="0"/>
    <n v="0"/>
    <n v="0"/>
    <n v="2.7136576552761701E-3"/>
    <n v="21.397190611852601"/>
    <n v="0"/>
    <n v="0"/>
    <n v="0"/>
    <n v="0"/>
    <n v="0"/>
    <n v="0"/>
    <n v="0"/>
    <n v="0"/>
  </r>
  <r>
    <x v="0"/>
    <x v="8"/>
    <n v="2030"/>
    <s v="Bornholm"/>
    <x v="3"/>
    <x v="0"/>
    <x v="0"/>
    <x v="0"/>
    <n v="0"/>
    <n v="0"/>
    <s v="C1.0_E0.0"/>
    <n v="962.844460726394"/>
    <n v="0"/>
    <n v="0"/>
    <n v="0"/>
    <n v="0"/>
    <n v="0"/>
    <n v="0"/>
    <n v="0"/>
    <n v="0"/>
    <n v="20.261756673583601"/>
    <n v="0"/>
    <n v="0"/>
    <n v="0"/>
    <n v="0"/>
    <n v="0"/>
    <n v="0"/>
    <n v="2.66881986536533E-3"/>
    <n v="21.043644638405599"/>
    <n v="0"/>
    <n v="0"/>
    <n v="0"/>
    <n v="0"/>
    <n v="0"/>
    <n v="0"/>
    <n v="0"/>
    <n v="0"/>
  </r>
  <r>
    <x v="0"/>
    <x v="9"/>
    <n v="2030"/>
    <s v="Bornholm"/>
    <x v="3"/>
    <x v="0"/>
    <x v="0"/>
    <x v="0"/>
    <n v="0"/>
    <n v="0"/>
    <s v="C1.0_E0.0"/>
    <n v="151.58288150016901"/>
    <n v="37.895720375042302"/>
    <n v="3.0977044955493298"/>
    <n v="1.13687161125127"/>
    <n v="0"/>
    <n v="0"/>
    <n v="0"/>
    <n v="0"/>
    <n v="4.2345761068006"/>
    <n v="666.067955203677"/>
    <n v="0"/>
    <n v="0"/>
    <n v="0"/>
    <n v="0"/>
    <n v="0"/>
    <n v="6.35757368856712E-3"/>
    <n v="0.55727130881630205"/>
    <n v="4394.0842700165404"/>
    <n v="0.62949208780395804"/>
    <n v="0"/>
    <n v="0.62949208780395804"/>
    <n v="7.9481324217672194E-5"/>
    <n v="0"/>
    <n v="0.15158288150016899"/>
    <n v="1.9139252714668E-5"/>
    <n v="0"/>
  </r>
  <r>
    <x v="0"/>
    <x v="10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1"/>
    <n v="2030"/>
    <s v="Bornholm"/>
    <x v="3"/>
    <x v="0"/>
    <x v="0"/>
    <x v="0"/>
    <n v="0"/>
    <n v="0"/>
    <s v="C1.0_E0.0"/>
    <n v="977.78667610196896"/>
    <n v="2245.6004178467902"/>
    <n v="199.470921530716"/>
    <n v="36.760582233907897"/>
    <n v="11.468962090876399"/>
    <n v="0"/>
    <n v="0"/>
    <n v="0"/>
    <n v="247.70046585550099"/>
    <n v="4073.4603682062598"/>
    <n v="0"/>
    <n v="0"/>
    <n v="0"/>
    <n v="0"/>
    <n v="0"/>
    <n v="6.0808365238760202E-2"/>
    <n v="0.52834509828787701"/>
    <n v="4166.0010999999104"/>
    <n v="34911.394154749498"/>
    <n v="0"/>
    <n v="34911.394154749498"/>
    <n v="4.4080043124684103"/>
    <n v="0"/>
    <n v="168.140196822494"/>
    <n v="2.12298228311232E-2"/>
    <n v="0"/>
  </r>
  <r>
    <x v="0"/>
    <x v="12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3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5"/>
    <n v="2030"/>
    <s v="Bornholm"/>
    <x v="3"/>
    <x v="0"/>
    <x v="0"/>
    <x v="0"/>
    <n v="0"/>
    <n v="0"/>
    <s v="C1.0_E0.0"/>
    <n v="890.71857753074903"/>
    <n v="0"/>
    <n v="0"/>
    <n v="0"/>
    <n v="0"/>
    <n v="0"/>
    <n v="0"/>
    <n v="0"/>
    <n v="0"/>
    <n v="42.216611050744497"/>
    <n v="0"/>
    <n v="0"/>
    <n v="0"/>
    <n v="0"/>
    <n v="0"/>
    <n v="0"/>
    <n v="6.0109229241488201E-3"/>
    <n v="47.396127256913402"/>
    <n v="0"/>
    <n v="0"/>
    <n v="0"/>
    <n v="0"/>
    <n v="0"/>
    <n v="0"/>
    <n v="0"/>
    <n v="0"/>
  </r>
  <r>
    <x v="0"/>
    <x v="16"/>
    <n v="2030"/>
    <s v="Bornholm"/>
    <x v="3"/>
    <x v="0"/>
    <x v="0"/>
    <x v="0"/>
    <n v="0"/>
    <n v="0"/>
    <s v="C1.0_E0.0"/>
    <n v="53.497478058152097"/>
    <n v="0"/>
    <n v="0"/>
    <n v="0"/>
    <n v="1.51573872987101E-2"/>
    <n v="0"/>
    <n v="0"/>
    <n v="0"/>
    <n v="1.51573872987101E-2"/>
    <n v="8.0752315629279199"/>
    <n v="0"/>
    <n v="0.40376157814639602"/>
    <n v="0"/>
    <n v="0"/>
    <n v="0"/>
    <n v="1.8770219999999999E-3"/>
    <n v="1.9143439845016399E-2"/>
    <n v="150.946023177954"/>
    <n v="0"/>
    <n v="0"/>
    <n v="0"/>
    <n v="0"/>
    <n v="0"/>
    <n v="0"/>
    <n v="0"/>
    <n v="0"/>
  </r>
  <r>
    <x v="0"/>
    <x v="17"/>
    <n v="2030"/>
    <s v="Bornholm"/>
    <x v="3"/>
    <x v="0"/>
    <x v="0"/>
    <x v="0"/>
    <n v="0"/>
    <n v="0"/>
    <s v="C1.0_E0.0"/>
    <n v="72.121986174380297"/>
    <n v="0"/>
    <n v="0"/>
    <n v="0"/>
    <n v="0"/>
    <n v="0"/>
    <n v="0"/>
    <n v="0"/>
    <n v="0"/>
    <n v="8.0752315629279305"/>
    <n v="0"/>
    <n v="0.40376157814639901"/>
    <n v="0"/>
    <n v="0"/>
    <n v="0"/>
    <n v="0"/>
    <n v="1.4199910559730499E-2"/>
    <n v="111.96629476347501"/>
    <n v="0"/>
    <n v="0"/>
    <n v="0"/>
    <n v="0"/>
    <n v="0"/>
    <n v="0"/>
    <n v="0"/>
    <n v="0"/>
  </r>
  <r>
    <x v="0"/>
    <x v="18"/>
    <n v="2030"/>
    <s v="Bornholm"/>
    <x v="3"/>
    <x v="0"/>
    <x v="0"/>
    <x v="0"/>
    <n v="0"/>
    <n v="0"/>
    <s v="C1.0_E0.0"/>
    <n v="72.121986174380297"/>
    <n v="12.9819575113884"/>
    <n v="1.3222410473832"/>
    <n v="0.194729362670826"/>
    <n v="0"/>
    <n v="0"/>
    <n v="0"/>
    <n v="0"/>
    <n v="1.51697041005403"/>
    <n v="288.754681116759"/>
    <n v="0"/>
    <n v="0"/>
    <n v="0"/>
    <n v="0"/>
    <n v="0"/>
    <n v="5.2534920098512104E-3"/>
    <n v="0.50776137050797199"/>
    <n v="4003.6984064553499"/>
    <n v="75.661569960755799"/>
    <n v="0"/>
    <n v="75.661569960755799"/>
    <n v="9.5532285303985501E-3"/>
    <n v="0"/>
    <n v="1.2501144270225899E-3"/>
    <n v="1.57842730684672E-7"/>
    <n v="0"/>
  </r>
  <r>
    <x v="0"/>
    <x v="0"/>
    <n v="2030"/>
    <s v="Bornholm"/>
    <x v="4"/>
    <x v="0"/>
    <x v="0"/>
    <x v="0"/>
    <n v="0"/>
    <n v="0"/>
    <s v="C1.0_E0.0"/>
    <n v="88.022694697406195"/>
    <n v="586.42127570527202"/>
    <n v="51.895688115510801"/>
    <n v="23.456851028210799"/>
    <n v="0"/>
    <n v="0"/>
    <n v="0"/>
    <n v="0"/>
    <n v="75.3525391437216"/>
    <n v="425.80645161290403"/>
    <n v="0"/>
    <n v="191.612903225812"/>
    <n v="1.0966218470429701"/>
    <n v="58.958163819514503"/>
    <n v="212.24938975025199"/>
    <n v="0.176964296473891"/>
    <n v="0.61350185460571705"/>
    <n v="4837.4621235660798"/>
    <n v="1333.5658804295001"/>
    <n v="0"/>
    <n v="1333.5658804295001"/>
    <n v="0.168379530357259"/>
    <n v="4.7914137717091796"/>
    <n v="0"/>
    <n v="0"/>
    <n v="2.1319642438067499E-2"/>
  </r>
  <r>
    <x v="0"/>
    <x v="1"/>
    <n v="2030"/>
    <s v="Bornholm"/>
    <x v="4"/>
    <x v="0"/>
    <x v="0"/>
    <x v="0"/>
    <n v="0"/>
    <n v="0"/>
    <s v="C1.0_E0.0"/>
    <n v="195.620209708255"/>
    <n v="23.6687073324645"/>
    <n v="2.7652043068756602"/>
    <n v="0.71006121997393501"/>
    <n v="0"/>
    <n v="0"/>
    <n v="0"/>
    <n v="5.60562870067675E-2"/>
    <n v="3.53132181385637"/>
    <n v="862.40441548869399"/>
    <n v="0"/>
    <n v="2.1560110387217701"/>
    <n v="0"/>
    <n v="0"/>
    <n v="0"/>
    <n v="4.0947399508098397E-3"/>
    <n v="0.55910780329951104"/>
    <n v="4408.5650290166404"/>
    <n v="0"/>
    <n v="0"/>
    <n v="0"/>
    <n v="0"/>
    <n v="0"/>
    <n v="0"/>
    <n v="0"/>
    <n v="0"/>
  </r>
  <r>
    <x v="0"/>
    <x v="2"/>
    <n v="2030"/>
    <s v="Bornholm"/>
    <x v="4"/>
    <x v="0"/>
    <x v="0"/>
    <x v="0"/>
    <n v="0"/>
    <n v="0"/>
    <s v="C1.0_E0.0"/>
    <n v="17.388463085178198"/>
    <n v="692.75636931350198"/>
    <n v="61.3058733905754"/>
    <n v="69.275636931350206"/>
    <n v="0"/>
    <n v="0"/>
    <n v="0"/>
    <n v="0"/>
    <n v="130.58151032192501"/>
    <n v="76.658170265660004"/>
    <n v="0"/>
    <n v="3817.57687922993"/>
    <n v="0"/>
    <n v="0"/>
    <n v="0"/>
    <n v="1.7034258692764599"/>
    <n v="0.55910780329951104"/>
    <n v="4408.5650290166404"/>
    <n v="1338.58993869851"/>
    <n v="0"/>
    <n v="1338.58993869851"/>
    <n v="0.169013881148801"/>
    <n v="0"/>
    <n v="8.2247430392893197E-3"/>
    <n v="1.03847765647592E-6"/>
    <n v="0"/>
  </r>
  <r>
    <x v="0"/>
    <x v="3"/>
    <n v="2030"/>
    <s v="Bornholm"/>
    <x v="4"/>
    <x v="0"/>
    <x v="0"/>
    <x v="0"/>
    <n v="0"/>
    <n v="0"/>
    <s v="C1.0_E0.0"/>
    <n v="15.844085045533101"/>
    <n v="0"/>
    <n v="0"/>
    <n v="0"/>
    <n v="0"/>
    <n v="0"/>
    <n v="0"/>
    <n v="0"/>
    <n v="0"/>
    <n v="76.645161290323998"/>
    <n v="0"/>
    <n v="0"/>
    <n v="0"/>
    <n v="0"/>
    <n v="0"/>
    <n v="0"/>
    <n v="0.61350185460571705"/>
    <n v="4837.4621235660798"/>
    <n v="0"/>
    <n v="0"/>
    <n v="0"/>
    <n v="0"/>
    <n v="0"/>
    <n v="0"/>
    <n v="0"/>
    <n v="0"/>
  </r>
  <r>
    <x v="0"/>
    <x v="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5"/>
    <n v="2030"/>
    <s v="Bornholm"/>
    <x v="4"/>
    <x v="0"/>
    <x v="0"/>
    <x v="0"/>
    <n v="0"/>
    <n v="0"/>
    <s v="C1.0_E0.0"/>
    <n v="98.696916471471795"/>
    <n v="0"/>
    <n v="0"/>
    <n v="0"/>
    <n v="0"/>
    <n v="0"/>
    <n v="0"/>
    <n v="0"/>
    <n v="0"/>
    <n v="435.11177442791899"/>
    <n v="0"/>
    <n v="0"/>
    <n v="0"/>
    <n v="0"/>
    <n v="0"/>
    <n v="0"/>
    <n v="0.55910780329951104"/>
    <n v="4408.5650290166404"/>
    <n v="0"/>
    <n v="0"/>
    <n v="0"/>
    <n v="0"/>
    <n v="0"/>
    <n v="0"/>
    <n v="0"/>
    <n v="0"/>
  </r>
  <r>
    <x v="0"/>
    <x v="6"/>
    <n v="2030"/>
    <s v="Bornholm"/>
    <x v="4"/>
    <x v="0"/>
    <x v="0"/>
    <x v="0"/>
    <n v="0"/>
    <n v="0"/>
    <s v="C1.0_E0.0"/>
    <n v="134.93447354098299"/>
    <n v="0"/>
    <n v="0"/>
    <n v="0"/>
    <n v="0"/>
    <n v="0"/>
    <n v="0"/>
    <n v="0"/>
    <n v="0"/>
    <n v="594.86740126153802"/>
    <n v="0"/>
    <n v="0"/>
    <n v="0"/>
    <n v="0"/>
    <n v="0"/>
    <n v="0"/>
    <n v="0.55910780329951104"/>
    <n v="4408.5650290166404"/>
    <n v="0"/>
    <n v="0"/>
    <n v="0"/>
    <n v="0"/>
    <n v="0"/>
    <n v="0"/>
    <n v="0"/>
    <n v="0"/>
  </r>
  <r>
    <x v="0"/>
    <x v="7"/>
    <n v="2030"/>
    <s v="Bornholm"/>
    <x v="4"/>
    <x v="0"/>
    <x v="0"/>
    <x v="0"/>
    <n v="0"/>
    <n v="0"/>
    <s v="C1.0_E0.0"/>
    <n v="445.55167788966298"/>
    <n v="0"/>
    <n v="0"/>
    <n v="0"/>
    <n v="0"/>
    <n v="0"/>
    <n v="0"/>
    <n v="0"/>
    <n v="0"/>
    <n v="18.225236800587599"/>
    <n v="0"/>
    <n v="17.131722592552201"/>
    <n v="0"/>
    <n v="0"/>
    <n v="0"/>
    <n v="0"/>
    <n v="5.1876826242675802E-3"/>
    <n v="40.904877492349797"/>
    <n v="0"/>
    <n v="0"/>
    <n v="0"/>
    <n v="0"/>
    <n v="0"/>
    <n v="0"/>
    <n v="0"/>
    <n v="0"/>
  </r>
  <r>
    <x v="0"/>
    <x v="8"/>
    <n v="2030"/>
    <s v="Bornholm"/>
    <x v="4"/>
    <x v="0"/>
    <x v="0"/>
    <x v="0"/>
    <n v="0"/>
    <n v="0"/>
    <s v="C1.0_E0.0"/>
    <n v="451.89245789569799"/>
    <n v="0"/>
    <n v="0"/>
    <n v="0"/>
    <n v="0"/>
    <n v="0"/>
    <n v="0"/>
    <n v="0"/>
    <n v="0"/>
    <n v="18.2122278252467"/>
    <n v="0"/>
    <n v="0"/>
    <n v="0"/>
    <n v="0"/>
    <n v="0"/>
    <n v="0"/>
    <n v="5.1112401167597004E-3"/>
    <n v="40.302128320650198"/>
    <n v="0"/>
    <n v="0"/>
    <n v="0"/>
    <n v="0"/>
    <n v="0"/>
    <n v="0"/>
    <n v="0"/>
    <n v="0"/>
  </r>
  <r>
    <x v="0"/>
    <x v="9"/>
    <n v="2030"/>
    <s v="Bornholm"/>
    <x v="4"/>
    <x v="0"/>
    <x v="0"/>
    <x v="0"/>
    <n v="0"/>
    <n v="0"/>
    <s v="C1.0_E0.0"/>
    <n v="144.54417045528501"/>
    <n v="36.136042613821303"/>
    <n v="2.9538634059036899"/>
    <n v="1.0840812784146301"/>
    <n v="0"/>
    <n v="0"/>
    <n v="0"/>
    <n v="0"/>
    <n v="4.0379446843183304"/>
    <n v="578.46201210685501"/>
    <n v="0"/>
    <n v="0"/>
    <n v="0"/>
    <n v="0"/>
    <n v="0"/>
    <n v="6.9804837652371696E-3"/>
    <n v="0.50754267604883097"/>
    <n v="4001.9740006450302"/>
    <n v="0.60026178905754002"/>
    <n v="0"/>
    <n v="0.60026178905754002"/>
    <n v="7.5790629931507406E-5"/>
    <n v="0"/>
    <n v="0.144544170455285"/>
    <n v="1.82505265726369E-5"/>
    <n v="0"/>
  </r>
  <r>
    <x v="0"/>
    <x v="10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1"/>
    <n v="2030"/>
    <s v="Bornholm"/>
    <x v="4"/>
    <x v="0"/>
    <x v="0"/>
    <x v="0"/>
    <n v="0"/>
    <n v="0"/>
    <s v="C1.0_E0.0"/>
    <n v="981.01122236987601"/>
    <n v="2253.0059620452898"/>
    <n v="200.128737014705"/>
    <n v="36.881811333409402"/>
    <n v="11.417447246542601"/>
    <n v="0"/>
    <n v="0"/>
    <n v="0"/>
    <n v="248.42799559465701"/>
    <n v="4055.16371022564"/>
    <n v="0"/>
    <n v="0"/>
    <n v="0"/>
    <n v="0"/>
    <n v="0"/>
    <n v="6.1262137202553101E-2"/>
    <n v="0.52424309448318496"/>
    <n v="4133.6567999999197"/>
    <n v="35026.524999217399"/>
    <n v="0"/>
    <n v="35026.524999217399"/>
    <n v="4.4225410352547101"/>
    <n v="0"/>
    <n v="168.694689798724"/>
    <n v="2.1299834570545802E-2"/>
    <n v="0"/>
  </r>
  <r>
    <x v="0"/>
    <x v="12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3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5"/>
    <n v="2030"/>
    <s v="Bornholm"/>
    <x v="4"/>
    <x v="0"/>
    <x v="0"/>
    <x v="0"/>
    <n v="0"/>
    <n v="0"/>
    <s v="C1.0_E0.0"/>
    <n v="343.94361017327998"/>
    <n v="0"/>
    <n v="0"/>
    <n v="0"/>
    <n v="0"/>
    <n v="0"/>
    <n v="0"/>
    <n v="0"/>
    <n v="0"/>
    <n v="25.0487537431632"/>
    <n v="0"/>
    <n v="0"/>
    <n v="0"/>
    <n v="0"/>
    <n v="0"/>
    <n v="0"/>
    <n v="9.2362819108020994E-3"/>
    <n v="72.828082866674606"/>
    <n v="0"/>
    <n v="0"/>
    <n v="0"/>
    <n v="0"/>
    <n v="0"/>
    <n v="0"/>
    <n v="0"/>
    <n v="0"/>
  </r>
  <r>
    <x v="0"/>
    <x v="16"/>
    <n v="2030"/>
    <s v="Bornholm"/>
    <x v="4"/>
    <x v="0"/>
    <x v="0"/>
    <x v="0"/>
    <n v="0"/>
    <n v="0"/>
    <s v="C1.0_E0.0"/>
    <n v="63.051980497992702"/>
    <n v="0"/>
    <n v="0"/>
    <n v="0"/>
    <n v="3.0735116455527099E-2"/>
    <n v="0"/>
    <n v="0"/>
    <n v="0"/>
    <n v="3.0735116455527099E-2"/>
    <n v="16.374403952392299"/>
    <n v="0"/>
    <n v="0.81872019761960602"/>
    <n v="0"/>
    <n v="0"/>
    <n v="0"/>
    <n v="1.8770219999999799E-3"/>
    <n v="3.2935561349435101E-2"/>
    <n v="259.69690124029501"/>
    <n v="0"/>
    <n v="0"/>
    <n v="0"/>
    <n v="0"/>
    <n v="0"/>
    <n v="0"/>
    <n v="0"/>
    <n v="0"/>
  </r>
  <r>
    <x v="0"/>
    <x v="17"/>
    <n v="2030"/>
    <s v="Bornholm"/>
    <x v="4"/>
    <x v="0"/>
    <x v="0"/>
    <x v="0"/>
    <n v="0"/>
    <n v="0"/>
    <s v="C1.0_E0.0"/>
    <n v="237.080612144556"/>
    <n v="0"/>
    <n v="0"/>
    <n v="0"/>
    <n v="0"/>
    <n v="0"/>
    <n v="0"/>
    <n v="0"/>
    <n v="0"/>
    <n v="16.374403952392299"/>
    <n v="0"/>
    <n v="0.818720197619622"/>
    <n v="0"/>
    <n v="0"/>
    <n v="0"/>
    <n v="0"/>
    <n v="8.7592669561220894E-3"/>
    <n v="69.066819949022701"/>
    <n v="0"/>
    <n v="0"/>
    <n v="0"/>
    <n v="0"/>
    <n v="0"/>
    <n v="0"/>
    <n v="0"/>
    <n v="0"/>
  </r>
  <r>
    <x v="0"/>
    <x v="18"/>
    <n v="2030"/>
    <s v="Bornholm"/>
    <x v="4"/>
    <x v="0"/>
    <x v="0"/>
    <x v="0"/>
    <n v="0"/>
    <n v="0"/>
    <s v="C1.0_E0.0"/>
    <n v="237.080612144556"/>
    <n v="42.6745101860201"/>
    <n v="4.3464931228921904"/>
    <n v="0.64011765279030197"/>
    <n v="0"/>
    <n v="0"/>
    <n v="0"/>
    <n v="0"/>
    <n v="4.9866107756824896"/>
    <n v="877.09333714138404"/>
    <n v="0"/>
    <n v="0"/>
    <n v="0"/>
    <n v="0"/>
    <n v="0"/>
    <n v="5.6853821190055E-3"/>
    <n v="0.46918927295273999"/>
    <n v="3699.55741723235"/>
    <n v="248.715991802319"/>
    <n v="0"/>
    <n v="248.715991802319"/>
    <n v="3.1403534318474598E-2"/>
    <n v="0"/>
    <n v="4.1093972771723102E-3"/>
    <n v="5.1886329257225996E-7"/>
    <n v="0"/>
  </r>
  <r>
    <x v="0"/>
    <x v="0"/>
    <n v="2030"/>
    <s v="Bornholm"/>
    <x v="5"/>
    <x v="0"/>
    <x v="0"/>
    <x v="0"/>
    <n v="0"/>
    <n v="0"/>
    <s v="C1.0_E0.0"/>
    <n v="75.460038673426297"/>
    <n v="502.726851248554"/>
    <n v="44.489101880402998"/>
    <n v="20.109074049942102"/>
    <n v="0"/>
    <n v="0"/>
    <n v="0"/>
    <n v="0"/>
    <n v="64.598175930345107"/>
    <n v="425.806451612898"/>
    <n v="0"/>
    <n v="191.612903225813"/>
    <n v="1.1701761918042"/>
    <n v="62.912698484097199"/>
    <n v="226.48571454275"/>
    <n v="0.151707837412176"/>
    <n v="0.71563820259837196"/>
    <n v="5642.8072274881597"/>
    <n v="1143.2384938533"/>
    <n v="0"/>
    <n v="1143.2384938533"/>
    <n v="0.14434829467844901"/>
    <n v="5.16813183854884"/>
    <n v="0"/>
    <n v="0"/>
    <n v="2.3288648194443901E-2"/>
  </r>
  <r>
    <x v="0"/>
    <x v="1"/>
    <n v="2030"/>
    <s v="Bornholm"/>
    <x v="5"/>
    <x v="0"/>
    <x v="0"/>
    <x v="0"/>
    <n v="0"/>
    <n v="0"/>
    <s v="C1.0_E0.0"/>
    <n v="215.12485472608799"/>
    <n v="26.028635967850299"/>
    <n v="3.0409136954292801"/>
    <n v="0.78085907903551099"/>
    <n v="0"/>
    <n v="0"/>
    <n v="0"/>
    <n v="5.6079287536539402E-2"/>
    <n v="3.8778520620013301"/>
    <n v="862.75826979289695"/>
    <n v="0"/>
    <n v="2.15689567448227"/>
    <n v="0"/>
    <n v="0"/>
    <n v="0"/>
    <n v="4.4947144498912704E-3"/>
    <n v="0.50862399309302297"/>
    <n v="4010.5001855384899"/>
    <n v="0"/>
    <n v="0"/>
    <n v="0"/>
    <n v="0"/>
    <n v="0"/>
    <n v="0"/>
    <n v="0"/>
    <n v="0"/>
  </r>
  <r>
    <x v="0"/>
    <x v="2"/>
    <n v="2030"/>
    <s v="Bornholm"/>
    <x v="5"/>
    <x v="0"/>
    <x v="0"/>
    <x v="0"/>
    <n v="0"/>
    <n v="0"/>
    <s v="C1.0_E0.0"/>
    <n v="19.1222093089856"/>
    <n v="761.82881886998803"/>
    <n v="67.418479546016599"/>
    <n v="76.1828818869988"/>
    <n v="0"/>
    <n v="0"/>
    <n v="0"/>
    <n v="0"/>
    <n v="143.601361433015"/>
    <n v="76.689623981594707"/>
    <n v="0"/>
    <n v="3819.1432742829802"/>
    <n v="0"/>
    <n v="0"/>
    <n v="0"/>
    <n v="1.8725005284610501"/>
    <n v="0.50862399309302297"/>
    <n v="4010.5001855384899"/>
    <n v="1472.05632040669"/>
    <n v="0"/>
    <n v="1472.05632040669"/>
    <n v="0.18586569702104999"/>
    <n v="0"/>
    <n v="9.0448050031502001E-3"/>
    <n v="1.1420208337310899E-6"/>
    <n v="0"/>
  </r>
  <r>
    <x v="0"/>
    <x v="3"/>
    <n v="2030"/>
    <s v="Bornholm"/>
    <x v="5"/>
    <x v="0"/>
    <x v="0"/>
    <x v="0"/>
    <n v="0"/>
    <n v="0"/>
    <s v="C1.0_E0.0"/>
    <n v="13.582806961216701"/>
    <n v="0"/>
    <n v="0"/>
    <n v="0"/>
    <n v="0"/>
    <n v="0"/>
    <n v="0"/>
    <n v="0"/>
    <n v="0"/>
    <n v="76.645161290334002"/>
    <n v="0"/>
    <n v="0"/>
    <n v="0"/>
    <n v="0"/>
    <n v="0"/>
    <n v="0"/>
    <n v="0.71563820259837196"/>
    <n v="5642.8072274881597"/>
    <n v="0"/>
    <n v="0"/>
    <n v="0"/>
    <n v="0"/>
    <n v="0"/>
    <n v="0"/>
    <n v="0"/>
    <n v="0"/>
  </r>
  <r>
    <x v="0"/>
    <x v="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5"/>
    <n v="2030"/>
    <s v="Bornholm"/>
    <x v="5"/>
    <x v="0"/>
    <x v="0"/>
    <x v="0"/>
    <n v="0"/>
    <n v="0"/>
    <s v="C1.0_E0.0"/>
    <n v="108.537660037802"/>
    <n v="0"/>
    <n v="0"/>
    <n v="0"/>
    <n v="0"/>
    <n v="0"/>
    <n v="0"/>
    <n v="0"/>
    <n v="0"/>
    <n v="435.29030571953399"/>
    <n v="0"/>
    <n v="0"/>
    <n v="0"/>
    <n v="0"/>
    <n v="0"/>
    <n v="0"/>
    <n v="0.50862399309302297"/>
    <n v="4010.5001855384899"/>
    <n v="0"/>
    <n v="0"/>
    <n v="0"/>
    <n v="0"/>
    <n v="0"/>
    <n v="0"/>
    <n v="0"/>
    <n v="0"/>
  </r>
  <r>
    <x v="0"/>
    <x v="6"/>
    <n v="2030"/>
    <s v="Bornholm"/>
    <x v="5"/>
    <x v="0"/>
    <x v="0"/>
    <x v="0"/>
    <n v="0"/>
    <n v="0"/>
    <s v="C1.0_E0.0"/>
    <n v="148.38834423772801"/>
    <n v="0"/>
    <n v="0"/>
    <n v="0"/>
    <n v="0"/>
    <n v="0"/>
    <n v="0"/>
    <n v="0"/>
    <n v="0"/>
    <n v="595.111482097156"/>
    <n v="0"/>
    <n v="0"/>
    <n v="0"/>
    <n v="0"/>
    <n v="0"/>
    <n v="0"/>
    <n v="0.50862399309302297"/>
    <n v="4010.5001855384899"/>
    <n v="0"/>
    <n v="0"/>
    <n v="0"/>
    <n v="0"/>
    <n v="0"/>
    <n v="0"/>
    <n v="0"/>
    <n v="0"/>
  </r>
  <r>
    <x v="0"/>
    <x v="7"/>
    <n v="2030"/>
    <s v="Bornholm"/>
    <x v="5"/>
    <x v="0"/>
    <x v="0"/>
    <x v="0"/>
    <n v="0"/>
    <n v="0"/>
    <s v="C1.0_E0.0"/>
    <n v="1044.9282044679501"/>
    <n v="0"/>
    <n v="0"/>
    <n v="0"/>
    <n v="0"/>
    <n v="0"/>
    <n v="0"/>
    <n v="0"/>
    <n v="0"/>
    <n v="33.360734229757398"/>
    <n v="0"/>
    <n v="31.3590901759706"/>
    <n v="0"/>
    <n v="0"/>
    <n v="0"/>
    <n v="0"/>
    <n v="4.0489969627265096E-3"/>
    <n v="31.9263410510985"/>
    <n v="0"/>
    <n v="0"/>
    <n v="0"/>
    <n v="0"/>
    <n v="0"/>
    <n v="0"/>
    <n v="0"/>
    <n v="0"/>
  </r>
  <r>
    <x v="0"/>
    <x v="8"/>
    <n v="2030"/>
    <s v="Bornholm"/>
    <x v="5"/>
    <x v="0"/>
    <x v="0"/>
    <x v="0"/>
    <n v="0"/>
    <n v="0"/>
    <s v="C1.0_E0.0"/>
    <n v="1058.5110114291699"/>
    <n v="0"/>
    <n v="0"/>
    <n v="0"/>
    <n v="0"/>
    <n v="0"/>
    <n v="0"/>
    <n v="0"/>
    <n v="0"/>
    <n v="33.316271538494703"/>
    <n v="0"/>
    <n v="0"/>
    <n v="0"/>
    <n v="0"/>
    <n v="0"/>
    <n v="0"/>
    <n v="3.9917130620324903E-3"/>
    <n v="31.474657494126099"/>
    <n v="0"/>
    <n v="0"/>
    <n v="0"/>
    <n v="0"/>
    <n v="0"/>
    <n v="0"/>
    <n v="0"/>
    <n v="0"/>
  </r>
  <r>
    <x v="0"/>
    <x v="9"/>
    <n v="2030"/>
    <s v="Bornholm"/>
    <x v="5"/>
    <x v="0"/>
    <x v="0"/>
    <x v="0"/>
    <n v="0"/>
    <n v="0"/>
    <s v="C1.0_E0.0"/>
    <n v="494.029902908824"/>
    <n v="123.507475727206"/>
    <n v="10.0958540702681"/>
    <n v="3.7052242718161801"/>
    <n v="0"/>
    <n v="0"/>
    <n v="0"/>
    <n v="0"/>
    <n v="13.801078342084301"/>
    <n v="2186.54771923916"/>
    <n v="0"/>
    <n v="0"/>
    <n v="0"/>
    <n v="0"/>
    <n v="0"/>
    <n v="6.3118120956841403E-3"/>
    <n v="0.56131161013909603"/>
    <n v="4425.9420459467701"/>
    <n v="2.0516031358020799"/>
    <n v="0"/>
    <n v="2.0516031358020799"/>
    <n v="2.5904079997501298E-4"/>
    <n v="0"/>
    <n v="0.49402990290882398"/>
    <n v="6.2377512993539103E-5"/>
    <n v="0"/>
  </r>
  <r>
    <x v="0"/>
    <x v="10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1"/>
    <n v="2030"/>
    <s v="Bornholm"/>
    <x v="5"/>
    <x v="0"/>
    <x v="0"/>
    <x v="0"/>
    <n v="0"/>
    <n v="0"/>
    <s v="C1.0_E0.0"/>
    <n v="1069.6731890557"/>
    <n v="2456.62844361822"/>
    <n v="218.21599943277499"/>
    <n v="40.215120732109703"/>
    <n v="11.492575240039899"/>
    <n v="0"/>
    <n v="0"/>
    <n v="0"/>
    <n v="269.92369540492501"/>
    <n v="4081.8471103128099"/>
    <n v="0"/>
    <n v="0"/>
    <n v="0"/>
    <n v="0"/>
    <n v="0"/>
    <n v="6.6127830883954894E-2"/>
    <n v="0.48395382371590301"/>
    <n v="3815.9758999998999"/>
    <n v="38192.157075371397"/>
    <n v="0"/>
    <n v="38192.157075371397"/>
    <n v="4.8222420549711904"/>
    <n v="0"/>
    <n v="183.941001590019"/>
    <n v="2.3224873938134001E-2"/>
    <n v="0"/>
  </r>
  <r>
    <x v="0"/>
    <x v="12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3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5"/>
    <n v="2030"/>
    <s v="Bornholm"/>
    <x v="5"/>
    <x v="0"/>
    <x v="0"/>
    <x v="0"/>
    <n v="0"/>
    <n v="0"/>
    <s v="C1.0_E0.0"/>
    <n v="982.23251219988197"/>
    <n v="0"/>
    <n v="0"/>
    <n v="0"/>
    <n v="0"/>
    <n v="0"/>
    <n v="0"/>
    <n v="0"/>
    <n v="0"/>
    <n v="36.5967201301047"/>
    <n v="0"/>
    <n v="0"/>
    <n v="0"/>
    <n v="0"/>
    <n v="0"/>
    <n v="0"/>
    <n v="4.72526491747803E-3"/>
    <n v="37.258713874314203"/>
    <n v="0"/>
    <n v="0"/>
    <n v="0"/>
    <n v="0"/>
    <n v="0"/>
    <n v="0"/>
    <n v="0"/>
    <n v="0"/>
  </r>
  <r>
    <x v="0"/>
    <x v="16"/>
    <n v="2030"/>
    <s v="Bornholm"/>
    <x v="5"/>
    <x v="0"/>
    <x v="0"/>
    <x v="0"/>
    <n v="0"/>
    <n v="0"/>
    <s v="C1.0_E0.0"/>
    <n v="116.388580528137"/>
    <n v="0"/>
    <n v="0"/>
    <n v="0"/>
    <n v="1.8361532687857601E-2"/>
    <n v="0"/>
    <n v="0"/>
    <n v="0"/>
    <n v="1.8361532687857601E-2"/>
    <n v="9.7822682354589894"/>
    <n v="0"/>
    <n v="0.48911341177294998"/>
    <n v="0"/>
    <n v="0"/>
    <n v="0"/>
    <n v="1.8770219999999899E-3"/>
    <n v="1.0659270857968001E-2"/>
    <n v="84.048350715077902"/>
    <n v="0"/>
    <n v="0"/>
    <n v="0"/>
    <n v="0"/>
    <n v="0"/>
    <n v="0"/>
    <n v="0"/>
    <n v="0"/>
  </r>
  <r>
    <x v="0"/>
    <x v="17"/>
    <n v="2030"/>
    <s v="Bornholm"/>
    <x v="5"/>
    <x v="0"/>
    <x v="0"/>
    <x v="0"/>
    <n v="0"/>
    <n v="0"/>
    <s v="C1.0_E0.0"/>
    <n v="116.388580528137"/>
    <n v="0"/>
    <n v="0"/>
    <n v="0"/>
    <n v="0"/>
    <n v="0"/>
    <n v="0"/>
    <n v="0"/>
    <n v="0"/>
    <n v="9.7822682354589396"/>
    <n v="0"/>
    <n v="0.48911341177294998"/>
    <n v="0"/>
    <n v="0"/>
    <n v="0"/>
    <n v="0"/>
    <n v="1.0659270857968001E-2"/>
    <n v="84.0483507150782"/>
    <n v="0"/>
    <n v="0"/>
    <n v="0"/>
    <n v="0"/>
    <n v="0"/>
    <n v="0"/>
    <n v="0"/>
    <n v="0"/>
  </r>
  <r>
    <x v="0"/>
    <x v="18"/>
    <n v="2030"/>
    <s v="Bornholm"/>
    <x v="5"/>
    <x v="0"/>
    <x v="0"/>
    <x v="0"/>
    <n v="0"/>
    <n v="0"/>
    <s v="C1.0_E0.0"/>
    <n v="116.388580528137"/>
    <n v="20.949944495064599"/>
    <n v="2.1337981215447401"/>
    <n v="0.31424916742596998"/>
    <n v="0"/>
    <n v="0"/>
    <n v="0"/>
    <n v="0"/>
    <n v="2.4480472889707099"/>
    <n v="473.09243405501701"/>
    <n v="0"/>
    <n v="0"/>
    <n v="0"/>
    <n v="0"/>
    <n v="0"/>
    <n v="5.1745644460803597E-3"/>
    <n v="0.51550624804669198"/>
    <n v="4064.76676584816"/>
    <n v="122.100668539143"/>
    <n v="0"/>
    <n v="122.100668539143"/>
    <n v="1.5416751078174799E-2"/>
    <n v="0"/>
    <n v="2.0174020624877101E-3"/>
    <n v="2.5472248263733999E-7"/>
    <n v="0"/>
  </r>
  <r>
    <x v="1"/>
    <x v="0"/>
    <n v="2030"/>
    <s v="Bornholm"/>
    <x v="0"/>
    <x v="0"/>
    <x v="0"/>
    <x v="0"/>
    <n v="0"/>
    <n v="0"/>
    <s v="C1.0_E0.0"/>
    <n v="85.548933436373403"/>
    <n v="569.94068238246905"/>
    <n v="50.437228529422001"/>
    <n v="22.7976272952987"/>
    <n v="0"/>
    <n v="0"/>
    <n v="0"/>
    <n v="0"/>
    <n v="73.234855824720796"/>
    <n v="425.80645161291199"/>
    <n v="0"/>
    <n v="191.612903225785"/>
    <n v="1.0235294198740099"/>
    <n v="55.028463434086902"/>
    <n v="198.10246836271301"/>
    <n v="0.17199094928532499"/>
    <n v="0.63124207719563596"/>
    <n v="4977.3437786875902"/>
    <n v="1296.0877774768201"/>
    <n v="0"/>
    <n v="1296.0877774768201"/>
    <n v="0.16364744665111"/>
    <n v="4.4344585646612602"/>
    <n v="0"/>
    <n v="0"/>
    <n v="1.9808528709398601E-2"/>
  </r>
  <r>
    <x v="1"/>
    <x v="1"/>
    <n v="2030"/>
    <s v="Bornholm"/>
    <x v="0"/>
    <x v="0"/>
    <x v="0"/>
    <x v="0"/>
    <n v="0"/>
    <n v="0"/>
    <s v="C1.0_E0.0"/>
    <n v="186.42419576188999"/>
    <n v="22.556052545689699"/>
    <n v="2.6352133544658898"/>
    <n v="0.67668157637069204"/>
    <n v="0"/>
    <n v="0"/>
    <n v="0"/>
    <n v="5.6054329048400901E-2"/>
    <n v="3.3679492598849801"/>
    <n v="862.37429305237094"/>
    <n v="0"/>
    <n v="2.1559357326308302"/>
    <n v="0"/>
    <n v="0"/>
    <n v="0"/>
    <n v="3.9054379136976998E-3"/>
    <n v="0.58666722451870001"/>
    <n v="4625.8710653299504"/>
    <n v="0"/>
    <n v="0"/>
    <n v="0"/>
    <n v="0"/>
    <n v="0"/>
    <n v="0"/>
    <n v="0"/>
    <n v="0"/>
  </r>
  <r>
    <x v="1"/>
    <x v="2"/>
    <n v="2030"/>
    <s v="Bornholm"/>
    <x v="0"/>
    <x v="0"/>
    <x v="0"/>
    <x v="0"/>
    <n v="0"/>
    <n v="0"/>
    <s v="C1.0_E0.0"/>
    <n v="16.571039623279098"/>
    <n v="660.19021859144198"/>
    <n v="58.423913149685099"/>
    <n v="66.019021859144203"/>
    <n v="0"/>
    <n v="0"/>
    <n v="0"/>
    <n v="0"/>
    <n v="124.442935008829"/>
    <n v="76.655492715764495"/>
    <n v="0"/>
    <n v="3817.4435372449502"/>
    <n v="0"/>
    <n v="0"/>
    <n v="0"/>
    <n v="1.6234053242637001"/>
    <n v="0.58666722451870001"/>
    <n v="4625.8710653299504"/>
    <n v="1275.6634559844099"/>
    <n v="0"/>
    <n v="1275.6634559844099"/>
    <n v="0.161068618179846"/>
    <n v="0"/>
    <n v="7.8381017418110398E-3"/>
    <n v="9.896593108347061E-7"/>
    <n v="0"/>
  </r>
  <r>
    <x v="1"/>
    <x v="3"/>
    <n v="2030"/>
    <s v="Bornholm"/>
    <x v="0"/>
    <x v="0"/>
    <x v="0"/>
    <x v="0"/>
    <n v="0"/>
    <n v="0"/>
    <s v="C1.0_E0.0"/>
    <n v="15.3988080185472"/>
    <n v="0"/>
    <n v="0"/>
    <n v="0"/>
    <n v="0"/>
    <n v="0"/>
    <n v="0"/>
    <n v="0"/>
    <n v="0"/>
    <n v="76.645161290325206"/>
    <n v="0"/>
    <n v="0"/>
    <n v="0"/>
    <n v="0"/>
    <n v="0"/>
    <n v="0"/>
    <n v="0.63124207719563596"/>
    <n v="4977.3437786875902"/>
    <n v="0"/>
    <n v="0"/>
    <n v="0"/>
    <n v="0"/>
    <n v="0"/>
    <n v="0"/>
    <n v="0"/>
    <n v="0"/>
  </r>
  <r>
    <x v="1"/>
    <x v="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5"/>
    <n v="2030"/>
    <s v="Bornholm"/>
    <x v="0"/>
    <x v="0"/>
    <x v="0"/>
    <x v="0"/>
    <n v="0"/>
    <n v="0"/>
    <s v="C1.0_E0.0"/>
    <n v="94.057220901732506"/>
    <n v="0"/>
    <n v="0"/>
    <n v="0"/>
    <n v="0"/>
    <n v="0"/>
    <n v="0"/>
    <n v="0"/>
    <n v="0"/>
    <n v="435.09657665466602"/>
    <n v="0"/>
    <n v="0"/>
    <n v="0"/>
    <n v="0"/>
    <n v="0"/>
    <n v="0"/>
    <n v="0.58666722451870001"/>
    <n v="4625.8710653299504"/>
    <n v="0"/>
    <n v="0"/>
    <n v="0"/>
    <n v="0"/>
    <n v="0"/>
    <n v="0"/>
    <n v="0"/>
    <n v="0"/>
  </r>
  <r>
    <x v="1"/>
    <x v="6"/>
    <n v="2030"/>
    <s v="Bornholm"/>
    <x v="0"/>
    <x v="0"/>
    <x v="0"/>
    <x v="0"/>
    <n v="0"/>
    <n v="0"/>
    <s v="C1.0_E0.0"/>
    <n v="128.59126747664601"/>
    <n v="0"/>
    <n v="0"/>
    <n v="0"/>
    <n v="0"/>
    <n v="0"/>
    <n v="0"/>
    <n v="0"/>
    <n v="0"/>
    <n v="594.84662347431004"/>
    <n v="0"/>
    <n v="0"/>
    <n v="0"/>
    <n v="0"/>
    <n v="0"/>
    <n v="0"/>
    <n v="0.58666722451870001"/>
    <n v="4625.8710653299504"/>
    <n v="0"/>
    <n v="0"/>
    <n v="0"/>
    <n v="0"/>
    <n v="0"/>
    <n v="0"/>
    <n v="0"/>
    <n v="0"/>
  </r>
  <r>
    <x v="1"/>
    <x v="7"/>
    <n v="2030"/>
    <s v="Bornholm"/>
    <x v="0"/>
    <x v="0"/>
    <x v="0"/>
    <x v="0"/>
    <n v="0"/>
    <n v="0"/>
    <s v="C1.0_E0.0"/>
    <n v="880.35640593347898"/>
    <n v="0"/>
    <n v="0"/>
    <n v="0"/>
    <n v="0"/>
    <n v="0"/>
    <n v="0"/>
    <n v="0"/>
    <n v="0"/>
    <n v="6.47861494030853"/>
    <n v="0"/>
    <n v="6.0898980438900701"/>
    <n v="0"/>
    <n v="0"/>
    <n v="0"/>
    <n v="0"/>
    <n v="9.3330145267698898E-4"/>
    <n v="7.3590819543580599"/>
    <n v="0"/>
    <n v="0"/>
    <n v="0"/>
    <n v="0"/>
    <n v="0"/>
    <n v="0"/>
    <n v="0"/>
    <n v="0"/>
  </r>
  <r>
    <x v="1"/>
    <x v="8"/>
    <n v="2030"/>
    <s v="Bornholm"/>
    <x v="0"/>
    <x v="0"/>
    <x v="0"/>
    <x v="0"/>
    <n v="0"/>
    <n v="0"/>
    <s v="C1.0_E0.0"/>
    <n v="895.755213952026"/>
    <n v="0"/>
    <n v="0"/>
    <n v="0"/>
    <n v="0"/>
    <n v="0"/>
    <n v="0"/>
    <n v="0"/>
    <n v="0"/>
    <n v="6.46828351486581"/>
    <n v="0"/>
    <n v="0"/>
    <n v="0"/>
    <n v="0"/>
    <n v="0"/>
    <n v="0"/>
    <n v="9.1579444533503203E-4"/>
    <n v="7.2210392014667297"/>
    <n v="0"/>
    <n v="0"/>
    <n v="0"/>
    <n v="0"/>
    <n v="0"/>
    <n v="0"/>
    <n v="0"/>
    <n v="0"/>
  </r>
  <r>
    <x v="1"/>
    <x v="9"/>
    <n v="2030"/>
    <s v="Bornholm"/>
    <x v="0"/>
    <x v="0"/>
    <x v="0"/>
    <x v="0"/>
    <n v="0"/>
    <n v="0"/>
    <s v="C1.0_E0.0"/>
    <n v="114.793616030363"/>
    <n v="28.698404007590799"/>
    <n v="2.3458895682572298"/>
    <n v="0.86095212022772405"/>
    <n v="0"/>
    <n v="0"/>
    <n v="0"/>
    <n v="0"/>
    <n v="3.20684168848496"/>
    <n v="513.93793700527897"/>
    <n v="0"/>
    <n v="0"/>
    <n v="0"/>
    <n v="0"/>
    <n v="0"/>
    <n v="6.2397450306378504E-3"/>
    <n v="0.56779458021569895"/>
    <n v="4477.0602650007804"/>
    <n v="0.47671394227611702"/>
    <n v="0"/>
    <n v="0.47671394227611702"/>
    <n v="6.0191154327791303E-5"/>
    <n v="0"/>
    <n v="0.114793616030363"/>
    <n v="1.44941434381768E-5"/>
    <n v="0"/>
  </r>
  <r>
    <x v="1"/>
    <x v="10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1"/>
    <n v="2030"/>
    <s v="Bornholm"/>
    <x v="0"/>
    <x v="0"/>
    <x v="0"/>
    <x v="0"/>
    <n v="0"/>
    <n v="0"/>
    <s v="C1.0_E0.0"/>
    <n v="911.612675393514"/>
    <n v="2093.6241562823502"/>
    <n v="185.97126028015401"/>
    <n v="34.272723834683703"/>
    <n v="11.328864501263601"/>
    <n v="0"/>
    <n v="0"/>
    <n v="0"/>
    <n v="231.57284861610199"/>
    <n v="4023.7015518070102"/>
    <n v="0"/>
    <n v="0"/>
    <n v="0"/>
    <n v="0"/>
    <n v="0"/>
    <n v="5.7552193082537097E-2"/>
    <n v="0.559775269499029"/>
    <n v="4413.8279999998404"/>
    <n v="32548.683884714399"/>
    <n v="0"/>
    <n v="32548.683884714399"/>
    <n v="4.1096823086759704"/>
    <n v="0"/>
    <n v="156.76091566066799"/>
    <n v="1.9793044906649598E-2"/>
    <n v="0"/>
  </r>
  <r>
    <x v="1"/>
    <x v="12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3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5"/>
    <n v="2030"/>
    <s v="Bornholm"/>
    <x v="0"/>
    <x v="0"/>
    <x v="0"/>
    <x v="0"/>
    <n v="0"/>
    <n v="0"/>
    <s v="C1.0_E0.0"/>
    <n v="827.53502157747005"/>
    <n v="0"/>
    <n v="0"/>
    <n v="0"/>
    <n v="0"/>
    <n v="0"/>
    <n v="0"/>
    <n v="0"/>
    <n v="0"/>
    <n v="6.3992775593957001"/>
    <n v="0"/>
    <n v="0"/>
    <n v="0"/>
    <n v="0"/>
    <n v="0"/>
    <n v="0"/>
    <n v="9.8071511201395806E-4"/>
    <n v="7.7329386582300597"/>
    <n v="0"/>
    <n v="0"/>
    <n v="0"/>
    <n v="0"/>
    <n v="0"/>
    <n v="0"/>
    <n v="0"/>
    <n v="0"/>
  </r>
  <r>
    <x v="1"/>
    <x v="16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7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8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0"/>
    <n v="2030"/>
    <s v="Bornholm"/>
    <x v="6"/>
    <x v="0"/>
    <x v="0"/>
    <x v="0"/>
    <n v="0"/>
    <n v="0"/>
    <s v="C1.0_E0.0"/>
    <n v="104.98044729223901"/>
    <n v="699.39653673246596"/>
    <n v="61.893498825881899"/>
    <n v="27.9758614692986"/>
    <n v="0"/>
    <n v="0"/>
    <n v="0"/>
    <n v="0"/>
    <n v="89.869360295180599"/>
    <n v="425.80645161290499"/>
    <n v="0"/>
    <n v="191.61290322579899"/>
    <n v="1.2183418641430701"/>
    <n v="65.502250760380306"/>
    <n v="235.80810273736901"/>
    <n v="0.211056830996256"/>
    <n v="0.51440137508575501"/>
    <n v="4056.0548425511802"/>
    <n v="1590.48008132933"/>
    <n v="0"/>
    <n v="1590.48008132933"/>
    <n v="0.200818192087036"/>
    <n v="5.3524171008631001"/>
    <n v="0"/>
    <n v="0"/>
    <n v="2.3906052968377899E-2"/>
  </r>
  <r>
    <x v="1"/>
    <x v="1"/>
    <n v="2030"/>
    <s v="Bornholm"/>
    <x v="6"/>
    <x v="0"/>
    <x v="0"/>
    <x v="0"/>
    <n v="0"/>
    <n v="0"/>
    <s v="C1.0_E0.0"/>
    <n v="219.16277013697399"/>
    <n v="26.517196113226099"/>
    <n v="3.0979919548874002"/>
    <n v="0.79551588339678403"/>
    <n v="0"/>
    <n v="0"/>
    <n v="0"/>
    <n v="5.6049825051907802E-2"/>
    <n v="3.9495576633360998"/>
    <n v="862.30500079856904"/>
    <n v="0"/>
    <n v="2.1557625019965601"/>
    <n v="0"/>
    <n v="0"/>
    <n v="0"/>
    <n v="4.5802328174815903E-3"/>
    <n v="0.49899067065654701"/>
    <n v="3934.5414381268702"/>
    <n v="0"/>
    <n v="0"/>
    <n v="0"/>
    <n v="0"/>
    <n v="0"/>
    <n v="0"/>
    <n v="0"/>
    <n v="0"/>
  </r>
  <r>
    <x v="1"/>
    <x v="2"/>
    <n v="2030"/>
    <s v="Bornholm"/>
    <x v="6"/>
    <x v="0"/>
    <x v="0"/>
    <x v="0"/>
    <n v="0"/>
    <n v="0"/>
    <s v="C1.0_E0.0"/>
    <n v="19.481135123286599"/>
    <n v="776.12842331173795"/>
    <n v="68.683931266525505"/>
    <n v="77.612842331173795"/>
    <n v="0"/>
    <n v="0"/>
    <n v="0"/>
    <n v="0"/>
    <n v="146.296773597699"/>
    <n v="76.649333404321098"/>
    <n v="0"/>
    <n v="3817.1368035352398"/>
    <n v="0"/>
    <n v="0"/>
    <n v="0"/>
    <n v="1.90865030522824"/>
    <n v="0.49899067065654701"/>
    <n v="3934.5414381268702"/>
    <n v="1499.6869673137201"/>
    <n v="0"/>
    <n v="1499.6869673137201"/>
    <n v="0.189354415064863"/>
    <n v="0"/>
    <n v="9.2145769133145598E-3"/>
    <n v="1.1634566809740499E-6"/>
    <n v="0"/>
  </r>
  <r>
    <x v="1"/>
    <x v="3"/>
    <n v="2030"/>
    <s v="Bornholm"/>
    <x v="6"/>
    <x v="0"/>
    <x v="0"/>
    <x v="0"/>
    <n v="0"/>
    <n v="0"/>
    <s v="C1.0_E0.0"/>
    <n v="18.896480512603102"/>
    <n v="0"/>
    <n v="0"/>
    <n v="0"/>
    <n v="0"/>
    <n v="0"/>
    <n v="0"/>
    <n v="0"/>
    <n v="0"/>
    <n v="76.645161290319095"/>
    <n v="0"/>
    <n v="0"/>
    <n v="0"/>
    <n v="0"/>
    <n v="0"/>
    <n v="0"/>
    <n v="0.51440137508575501"/>
    <n v="4056.0548425511802"/>
    <n v="0"/>
    <n v="0"/>
    <n v="0"/>
    <n v="0"/>
    <n v="0"/>
    <n v="0"/>
    <n v="0"/>
    <n v="0"/>
  </r>
  <r>
    <x v="1"/>
    <x v="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5"/>
    <n v="2030"/>
    <s v="Bornholm"/>
    <x v="6"/>
    <x v="0"/>
    <x v="0"/>
    <x v="0"/>
    <n v="0"/>
    <n v="0"/>
    <s v="C1.0_E0.0"/>
    <n v="110.574922959774"/>
    <n v="0"/>
    <n v="0"/>
    <n v="0"/>
    <n v="0"/>
    <n v="0"/>
    <n v="0"/>
    <n v="0"/>
    <n v="0"/>
    <n v="435.06161640294499"/>
    <n v="0"/>
    <n v="0"/>
    <n v="0"/>
    <n v="0"/>
    <n v="0"/>
    <n v="0"/>
    <n v="0.49899067065654701"/>
    <n v="3934.5414381268702"/>
    <n v="0"/>
    <n v="0"/>
    <n v="0"/>
    <n v="0"/>
    <n v="0"/>
    <n v="0"/>
    <n v="0"/>
    <n v="0"/>
  </r>
  <r>
    <x v="1"/>
    <x v="6"/>
    <n v="2030"/>
    <s v="Bornholm"/>
    <x v="6"/>
    <x v="0"/>
    <x v="0"/>
    <x v="0"/>
    <n v="0"/>
    <n v="0"/>
    <s v="C1.0_E0.0"/>
    <n v="151.17360855670401"/>
    <n v="0"/>
    <n v="0"/>
    <n v="0"/>
    <n v="0"/>
    <n v="0"/>
    <n v="0"/>
    <n v="0"/>
    <n v="0"/>
    <n v="594.79882721752006"/>
    <n v="0"/>
    <n v="0"/>
    <n v="0"/>
    <n v="0"/>
    <n v="0"/>
    <n v="0"/>
    <n v="0.49899067065654701"/>
    <n v="3934.5414381268702"/>
    <n v="0"/>
    <n v="0"/>
    <n v="0"/>
    <n v="0"/>
    <n v="0"/>
    <n v="0"/>
    <n v="0"/>
    <n v="0"/>
  </r>
  <r>
    <x v="1"/>
    <x v="7"/>
    <n v="2030"/>
    <s v="Bornholm"/>
    <x v="6"/>
    <x v="0"/>
    <x v="0"/>
    <x v="0"/>
    <n v="0"/>
    <n v="0"/>
    <s v="C1.0_E0.0"/>
    <n v="1036.88324833907"/>
    <n v="0"/>
    <n v="0"/>
    <n v="0"/>
    <n v="0"/>
    <n v="0"/>
    <n v="0"/>
    <n v="0"/>
    <n v="0"/>
    <n v="7.1061179428168302"/>
    <n v="0"/>
    <n v="6.6797508662476597"/>
    <n v="0"/>
    <n v="0"/>
    <n v="0"/>
    <n v="0"/>
    <n v="8.6916225003365495E-4"/>
    <n v="6.8533443415153696"/>
    <n v="0"/>
    <n v="0"/>
    <n v="0"/>
    <n v="0"/>
    <n v="0"/>
    <n v="0"/>
    <n v="0"/>
    <n v="0"/>
  </r>
  <r>
    <x v="1"/>
    <x v="8"/>
    <n v="2030"/>
    <s v="Bornholm"/>
    <x v="6"/>
    <x v="0"/>
    <x v="0"/>
    <x v="0"/>
    <n v="0"/>
    <n v="0"/>
    <s v="C1.0_E0.0"/>
    <n v="1055.7797288516699"/>
    <n v="0"/>
    <n v="0"/>
    <n v="0"/>
    <n v="0"/>
    <n v="0"/>
    <n v="0"/>
    <n v="0"/>
    <n v="0"/>
    <n v="7.1019458288147597"/>
    <n v="0"/>
    <n v="0"/>
    <n v="0"/>
    <n v="0"/>
    <n v="0"/>
    <n v="0"/>
    <n v="8.5310470752539204E-4"/>
    <n v="6.7267306188377098"/>
    <n v="0"/>
    <n v="0"/>
    <n v="0"/>
    <n v="0"/>
    <n v="0"/>
    <n v="0"/>
    <n v="0"/>
    <n v="0"/>
  </r>
  <r>
    <x v="1"/>
    <x v="9"/>
    <n v="2030"/>
    <s v="Bornholm"/>
    <x v="6"/>
    <x v="0"/>
    <x v="0"/>
    <x v="0"/>
    <n v="0"/>
    <n v="0"/>
    <s v="C1.0_E0.0"/>
    <n v="46.356822244338197"/>
    <n v="11.5892055610845"/>
    <n v="0.94733478638554103"/>
    <n v="0.34767616683253599"/>
    <n v="0"/>
    <n v="0"/>
    <n v="0"/>
    <n v="0"/>
    <n v="1.29501095321807"/>
    <n v="231.851572361986"/>
    <n v="0"/>
    <n v="0"/>
    <n v="0"/>
    <n v="0"/>
    <n v="0"/>
    <n v="5.5855172342596602E-3"/>
    <n v="0.63429996931940402"/>
    <n v="5001.4552580834998"/>
    <n v="0.192510213091"/>
    <n v="0"/>
    <n v="0.192510213091"/>
    <n v="2.4306845087247299E-5"/>
    <n v="0"/>
    <n v="4.6356822244338201E-2"/>
    <n v="5.8531341217598397E-6"/>
    <n v="0"/>
  </r>
  <r>
    <x v="1"/>
    <x v="10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1"/>
    <n v="2030"/>
    <s v="Bornholm"/>
    <x v="6"/>
    <x v="0"/>
    <x v="0"/>
    <x v="0"/>
    <n v="0"/>
    <n v="0"/>
    <s v="C1.0_E0.0"/>
    <n v="1100.7232386042999"/>
    <n v="2527.9384808120799"/>
    <n v="224.55028701145699"/>
    <n v="41.382469324287797"/>
    <n v="11.4343671769649"/>
    <n v="0"/>
    <n v="0"/>
    <n v="0"/>
    <n v="277.36712351271001"/>
    <n v="4061.1732048477602"/>
    <n v="0"/>
    <n v="0"/>
    <n v="0"/>
    <n v="0"/>
    <n v="0"/>
    <n v="6.8297289852503995E-2"/>
    <n v="0.46792007609383501"/>
    <n v="3689.5497999998902"/>
    <n v="39300.783879979797"/>
    <n v="0"/>
    <n v="39300.783879979797"/>
    <n v="4.9622201868661104"/>
    <n v="0"/>
    <n v="189.28036811039601"/>
    <n v="2.3899036377575199E-2"/>
    <n v="0"/>
  </r>
  <r>
    <x v="1"/>
    <x v="12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3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5"/>
    <n v="2030"/>
    <s v="Bornholm"/>
    <x v="6"/>
    <x v="0"/>
    <x v="0"/>
    <x v="0"/>
    <n v="0"/>
    <n v="0"/>
    <s v="C1.0_E0.0"/>
    <n v="184.148819380661"/>
    <n v="0"/>
    <n v="0"/>
    <n v="0"/>
    <n v="0"/>
    <n v="0"/>
    <n v="0"/>
    <n v="0"/>
    <n v="0"/>
    <n v="43.5879847184911"/>
    <n v="0"/>
    <n v="0"/>
    <n v="0"/>
    <n v="0"/>
    <n v="0"/>
    <n v="0"/>
    <n v="3.0018995343445001E-2"/>
    <n v="236.69977828306301"/>
    <n v="0"/>
    <n v="0"/>
    <n v="0"/>
    <n v="0"/>
    <n v="0"/>
    <n v="0"/>
    <n v="0"/>
    <n v="0"/>
  </r>
  <r>
    <x v="1"/>
    <x v="16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7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8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2"/>
    <x v="19"/>
    <m/>
    <m/>
    <x v="7"/>
    <x v="1"/>
    <x v="1"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7">
  <r>
    <x v="0"/>
    <x v="0"/>
    <n v="2030"/>
    <s v="Bornholm"/>
    <x v="0"/>
    <x v="0"/>
    <x v="0"/>
    <x v="0"/>
    <n v="0"/>
    <n v="0"/>
    <s v="C1.0_E0.0"/>
    <n v="85.175352370948104"/>
    <n v="567.45182555163501"/>
    <n v="50.216975712534101"/>
    <n v="22.698073022065401"/>
    <n v="0"/>
    <n v="0"/>
    <n v="0"/>
    <n v="0"/>
    <n v="72.915048734599495"/>
    <n v="425.80645161289902"/>
    <n v="0"/>
    <n v="191.61290322578199"/>
    <n v="1.0288387765328399"/>
    <n v="55.313912716819402"/>
    <n v="199.13008578054999"/>
    <n v="0.17123988717974201"/>
    <n v="0.63401071954547195"/>
  </r>
  <r>
    <x v="0"/>
    <x v="1"/>
    <n v="2030"/>
    <s v="Bornholm"/>
    <x v="0"/>
    <x v="0"/>
    <x v="0"/>
    <x v="0"/>
    <n v="0"/>
    <n v="0"/>
    <s v="C1.0_E0.0"/>
    <n v="184.685185489849"/>
    <n v="22.345644197603001"/>
    <n v="2.6106314429081801"/>
    <n v="0.67036932592809095"/>
    <n v="0"/>
    <n v="0"/>
    <n v="0"/>
    <n v="5.60543184460549E-2"/>
    <n v="3.3370550872823199"/>
    <n v="862.37412993933697"/>
    <n v="0"/>
    <n v="2.1559353248481101"/>
    <n v="0"/>
    <n v="0"/>
    <n v="0"/>
    <n v="3.8696140937310602E-3"/>
    <n v="0.59219121736362401"/>
  </r>
  <r>
    <x v="0"/>
    <x v="2"/>
    <n v="2030"/>
    <s v="Bornholm"/>
    <x v="0"/>
    <x v="0"/>
    <x v="0"/>
    <x v="0"/>
    <n v="0"/>
    <n v="0"/>
    <s v="C1.0_E0.0"/>
    <n v="16.416460932431001"/>
    <n v="654.03180354805397"/>
    <n v="57.878920667969297"/>
    <n v="65.4031803548054"/>
    <n v="0"/>
    <n v="0"/>
    <n v="0"/>
    <n v="0"/>
    <n v="123.282101022774"/>
    <n v="76.655478216829593"/>
    <n v="0"/>
    <n v="3817.4428151982302"/>
    <n v="0"/>
    <n v="0"/>
    <n v="0"/>
    <n v="1.60826210847"/>
    <n v="0.59219121736362401"/>
  </r>
  <r>
    <x v="0"/>
    <x v="3"/>
    <n v="2030"/>
    <s v="Bornholm"/>
    <x v="0"/>
    <x v="0"/>
    <x v="0"/>
    <x v="0"/>
    <n v="0"/>
    <n v="0"/>
    <s v="C1.0_E0.0"/>
    <n v="15.3315634267706"/>
    <n v="0"/>
    <n v="0"/>
    <n v="0"/>
    <n v="0"/>
    <n v="0"/>
    <n v="0"/>
    <n v="0"/>
    <n v="0"/>
    <n v="76.645161290319905"/>
    <n v="0"/>
    <n v="0"/>
    <n v="0"/>
    <n v="0"/>
    <n v="0"/>
    <n v="0"/>
    <n v="0.63401071954547195"/>
  </r>
  <r>
    <x v="0"/>
    <x v="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5"/>
    <n v="2030"/>
    <s v="Bornholm"/>
    <x v="0"/>
    <x v="0"/>
    <x v="0"/>
    <x v="0"/>
    <n v="0"/>
    <n v="0"/>
    <s v="C1.0_E0.0"/>
    <n v="93.179832252478803"/>
    <n v="0"/>
    <n v="0"/>
    <n v="0"/>
    <n v="0"/>
    <n v="0"/>
    <n v="0"/>
    <n v="0"/>
    <n v="0"/>
    <n v="435.09649435872598"/>
    <n v="0"/>
    <n v="0"/>
    <n v="0"/>
    <n v="0"/>
    <n v="0"/>
    <n v="0"/>
    <n v="0.59219121736362401"/>
  </r>
  <r>
    <x v="0"/>
    <x v="6"/>
    <n v="2030"/>
    <s v="Bornholm"/>
    <x v="0"/>
    <x v="0"/>
    <x v="0"/>
    <x v="0"/>
    <n v="0"/>
    <n v="0"/>
    <s v="C1.0_E0.0"/>
    <n v="127.391736835665"/>
    <n v="0"/>
    <n v="0"/>
    <n v="0"/>
    <n v="0"/>
    <n v="0"/>
    <n v="0"/>
    <n v="0"/>
    <n v="0"/>
    <n v="594.84651096257505"/>
    <n v="0"/>
    <n v="0"/>
    <n v="0"/>
    <n v="0"/>
    <n v="0"/>
    <n v="0"/>
    <n v="0.59219121736362401"/>
  </r>
  <r>
    <x v="0"/>
    <x v="7"/>
    <n v="2030"/>
    <s v="Bornholm"/>
    <x v="0"/>
    <x v="0"/>
    <x v="0"/>
    <x v="0"/>
    <n v="0"/>
    <n v="0"/>
    <s v="C1.0_E0.0"/>
    <n v="885.64665701728097"/>
    <n v="0"/>
    <n v="0"/>
    <n v="0"/>
    <n v="0"/>
    <n v="0"/>
    <n v="0"/>
    <n v="0"/>
    <n v="0"/>
    <n v="12.611806355358199"/>
    <n v="0"/>
    <n v="11.8550979740365"/>
    <n v="0"/>
    <n v="0"/>
    <n v="0"/>
    <n v="0"/>
    <n v="1.8059890322956801E-3"/>
  </r>
  <r>
    <x v="0"/>
    <x v="8"/>
    <n v="2030"/>
    <s v="Bornholm"/>
    <x v="0"/>
    <x v="0"/>
    <x v="0"/>
    <x v="0"/>
    <n v="0"/>
    <n v="0"/>
    <s v="C1.0_E0.0"/>
    <n v="900.978220444052"/>
    <n v="0"/>
    <n v="0"/>
    <n v="0"/>
    <n v="0"/>
    <n v="0"/>
    <n v="0"/>
    <n v="0"/>
    <n v="0"/>
    <n v="12.6014894288476"/>
    <n v="0"/>
    <n v="0"/>
    <n v="0"/>
    <n v="0"/>
    <n v="0"/>
    <n v="0"/>
    <n v="1.7738050580846799E-3"/>
  </r>
  <r>
    <x v="0"/>
    <x v="9"/>
    <n v="2030"/>
    <s v="Bornholm"/>
    <x v="0"/>
    <x v="0"/>
    <x v="0"/>
    <x v="0"/>
    <n v="0"/>
    <n v="0"/>
    <s v="C1.0_E0.0"/>
    <n v="114.63251678103499"/>
    <n v="28.658129195258802"/>
    <n v="2.3425973899852899"/>
    <n v="0.85974387585776402"/>
    <n v="0"/>
    <n v="0"/>
    <n v="0"/>
    <n v="0"/>
    <n v="3.2023412658430601"/>
    <n v="519.07604745899403"/>
    <n v="0"/>
    <n v="0"/>
    <n v="0"/>
    <n v="0"/>
    <n v="0"/>
    <n v="6.1693104151488197E-3"/>
    <n v="0.57427705398390905"/>
  </r>
  <r>
    <x v="0"/>
    <x v="10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1"/>
    <n v="2030"/>
    <s v="Bornholm"/>
    <x v="0"/>
    <x v="0"/>
    <x v="0"/>
    <x v="0"/>
    <n v="0"/>
    <n v="0"/>
    <s v="C1.0_E0.0"/>
    <n v="887.81644832931499"/>
    <n v="2038.97336307296"/>
    <n v="181.116770586786"/>
    <n v="33.378087833569801"/>
    <n v="11.0331421628968"/>
    <n v="0"/>
    <n v="0"/>
    <n v="0"/>
    <n v="225.52800058325201"/>
    <n v="3918.6690984963402"/>
    <n v="0"/>
    <n v="0"/>
    <n v="0"/>
    <n v="0"/>
    <n v="0"/>
    <n v="5.75521930825421E-2"/>
    <n v="0.559775269499029"/>
  </r>
  <r>
    <x v="0"/>
    <x v="12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3"/>
    <n v="2030"/>
    <s v="Bornholm"/>
    <x v="0"/>
    <x v="0"/>
    <x v="0"/>
    <x v="0"/>
    <n v="0"/>
    <n v="0"/>
    <s v="C1.0_E0.0"/>
    <n v="28.853831842444201"/>
    <n v="59.231189255469502"/>
    <n v="5.2613545180391403"/>
    <n v="1.08478023287863"/>
    <n v="0.33940514954649098"/>
    <n v="0"/>
    <n v="0"/>
    <n v="0"/>
    <n v="6.6855399004642697"/>
    <n v="120.547388201987"/>
    <n v="0"/>
    <n v="0"/>
    <n v="0"/>
    <n v="0"/>
    <n v="0"/>
    <n v="5.54598486137425E-2"/>
    <n v="0.52984960050727603"/>
  </r>
  <r>
    <x v="0"/>
    <x v="1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5"/>
    <n v="2030"/>
    <s v="Bornholm"/>
    <x v="0"/>
    <x v="0"/>
    <x v="0"/>
    <x v="0"/>
    <n v="0"/>
    <n v="0"/>
    <s v="C1.0_E0.0"/>
    <n v="815.86863703556105"/>
    <n v="0"/>
    <n v="0"/>
    <n v="0"/>
    <n v="0"/>
    <n v="0"/>
    <n v="0"/>
    <n v="0"/>
    <n v="0"/>
    <n v="14.9660571671211"/>
    <n v="0"/>
    <n v="0"/>
    <n v="0"/>
    <n v="0"/>
    <n v="0"/>
    <n v="0"/>
    <n v="2.3264057547782001E-3"/>
  </r>
  <r>
    <x v="0"/>
    <x v="16"/>
    <n v="2030"/>
    <s v="Bornholm"/>
    <x v="0"/>
    <x v="0"/>
    <x v="0"/>
    <x v="0"/>
    <n v="0"/>
    <n v="0"/>
    <s v="C1.0_E0.0"/>
    <n v="65.209124834864596"/>
    <n v="0"/>
    <n v="0"/>
    <n v="0"/>
    <n v="2.2217892873062299E-2"/>
    <n v="0"/>
    <n v="0"/>
    <n v="0"/>
    <n v="2.2217892873062299E-2"/>
    <n v="11.8367780841472"/>
    <n v="0"/>
    <n v="0.59183890420736796"/>
    <n v="0"/>
    <n v="0"/>
    <n v="0"/>
    <n v="1.8770219999999999E-3"/>
    <n v="2.30209603184575E-2"/>
  </r>
  <r>
    <x v="0"/>
    <x v="17"/>
    <n v="2030"/>
    <s v="Bornholm"/>
    <x v="0"/>
    <x v="0"/>
    <x v="0"/>
    <x v="0"/>
    <n v="0"/>
    <n v="0"/>
    <s v="C1.0_E0.0"/>
    <n v="148.04475677727399"/>
    <n v="0"/>
    <n v="0"/>
    <n v="0"/>
    <n v="0"/>
    <n v="0"/>
    <n v="0"/>
    <n v="0"/>
    <n v="0"/>
    <n v="11.8367780841473"/>
    <n v="0"/>
    <n v="0.59183890420737395"/>
    <n v="0"/>
    <n v="0"/>
    <n v="0"/>
    <n v="0"/>
    <n v="1.01400191935416E-2"/>
  </r>
  <r>
    <x v="0"/>
    <x v="18"/>
    <n v="2030"/>
    <s v="Bornholm"/>
    <x v="0"/>
    <x v="0"/>
    <x v="0"/>
    <x v="0"/>
    <n v="0"/>
    <n v="0"/>
    <s v="C1.0_E0.0"/>
    <n v="148.04475677727399"/>
    <n v="26.6480562199093"/>
    <n v="2.71416338684126"/>
    <n v="0.39972084329863999"/>
    <n v="0"/>
    <n v="0"/>
    <n v="0"/>
    <n v="0"/>
    <n v="3.1138842301399001"/>
    <n v="615.36813390609598"/>
    <n v="0"/>
    <n v="0"/>
    <n v="0"/>
    <n v="0"/>
    <n v="0"/>
    <n v="5.06019739822127E-3"/>
    <n v="0.52715736026668103"/>
  </r>
  <r>
    <x v="1"/>
    <x v="0"/>
    <n v="2030"/>
    <s v="Bornholm"/>
    <x v="1"/>
    <x v="0"/>
    <x v="0"/>
    <x v="0"/>
    <n v="0"/>
    <n v="0"/>
    <s v="C1.0_E0.0"/>
    <n v="85.342854176083307"/>
    <n v="568.56774937773503"/>
    <n v="50.315730033427897"/>
    <n v="22.742709975109399"/>
    <n v="0"/>
    <n v="0"/>
    <n v="0"/>
    <n v="0"/>
    <n v="73.058440008537303"/>
    <n v="425.80645161291397"/>
    <n v="0"/>
    <n v="191.612903225812"/>
    <n v="1.0645768397108299"/>
    <n v="57.235313962947799"/>
    <n v="206.04713026661199"/>
    <n v="0.17157663941398399"/>
    <n v="0.63276635127327097"/>
  </r>
  <r>
    <x v="1"/>
    <x v="1"/>
    <n v="2030"/>
    <s v="Bornholm"/>
    <x v="1"/>
    <x v="0"/>
    <x v="0"/>
    <x v="0"/>
    <n v="0"/>
    <n v="0"/>
    <s v="C1.0_E0.0"/>
    <n v="194.60926039629399"/>
    <n v="23.546389380610499"/>
    <n v="2.75091395622306"/>
    <n v="0.70639168141831599"/>
    <n v="0"/>
    <n v="0"/>
    <n v="0"/>
    <n v="5.6057517223555897E-2"/>
    <n v="3.5133631548649298"/>
    <n v="862.42334190080703"/>
    <n v="0"/>
    <n v="2.1560583547520702"/>
    <n v="0"/>
    <n v="0"/>
    <n v="0"/>
    <n v="4.0738266048335097E-3"/>
    <n v="0.56202457074323198"/>
  </r>
  <r>
    <x v="1"/>
    <x v="2"/>
    <n v="2030"/>
    <s v="Bornholm"/>
    <x v="1"/>
    <x v="0"/>
    <x v="0"/>
    <x v="0"/>
    <n v="0"/>
    <n v="0"/>
    <s v="C1.0_E0.0"/>
    <n v="17.298600924115"/>
    <n v="689.17626081674496"/>
    <n v="60.989049629800398"/>
    <n v="68.917626081674499"/>
    <n v="0"/>
    <n v="0"/>
    <n v="0"/>
    <n v="0"/>
    <n v="129.90667571147401"/>
    <n v="76.659852613407594"/>
    <n v="0"/>
    <n v="3817.6606601476701"/>
    <n v="0"/>
    <n v="0"/>
    <n v="0"/>
    <n v="1.6945855135749901"/>
    <n v="0.56202457074323198"/>
  </r>
  <r>
    <x v="1"/>
    <x v="3"/>
    <n v="2030"/>
    <s v="Bornholm"/>
    <x v="1"/>
    <x v="0"/>
    <x v="0"/>
    <x v="0"/>
    <n v="0"/>
    <n v="0"/>
    <s v="C1.0_E0.0"/>
    <n v="15.361713751695"/>
    <n v="0"/>
    <n v="0"/>
    <n v="0"/>
    <n v="0"/>
    <n v="0"/>
    <n v="0"/>
    <n v="0"/>
    <n v="0"/>
    <n v="76.645161290318796"/>
    <n v="0"/>
    <n v="0"/>
    <n v="0"/>
    <n v="0"/>
    <n v="0"/>
    <n v="0"/>
    <n v="0.63276635127327097"/>
  </r>
  <r>
    <x v="1"/>
    <x v="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5"/>
    <n v="2030"/>
    <s v="Bornholm"/>
    <x v="1"/>
    <x v="0"/>
    <x v="0"/>
    <x v="0"/>
    <n v="0"/>
    <n v="0"/>
    <s v="C1.0_E0.0"/>
    <n v="98.1868588452772"/>
    <n v="0"/>
    <n v="0"/>
    <n v="0"/>
    <n v="0"/>
    <n v="0"/>
    <n v="0"/>
    <n v="0"/>
    <n v="0"/>
    <n v="435.12132343371599"/>
    <n v="0"/>
    <n v="0"/>
    <n v="0"/>
    <n v="0"/>
    <n v="0"/>
    <n v="0"/>
    <n v="0.56202457074323198"/>
  </r>
  <r>
    <x v="1"/>
    <x v="6"/>
    <n v="2030"/>
    <s v="Bornholm"/>
    <x v="1"/>
    <x v="0"/>
    <x v="0"/>
    <x v="0"/>
    <n v="0"/>
    <n v="0"/>
    <s v="C1.0_E0.0"/>
    <n v="134.237143171133"/>
    <n v="0"/>
    <n v="0"/>
    <n v="0"/>
    <n v="0"/>
    <n v="0"/>
    <n v="0"/>
    <n v="0"/>
    <n v="0"/>
    <n v="594.88045628006103"/>
    <n v="0"/>
    <n v="0"/>
    <n v="0"/>
    <n v="0"/>
    <n v="0"/>
    <n v="0"/>
    <n v="0.56202457074323198"/>
  </r>
  <r>
    <x v="1"/>
    <x v="7"/>
    <n v="2030"/>
    <s v="Bornholm"/>
    <x v="1"/>
    <x v="0"/>
    <x v="0"/>
    <x v="0"/>
    <n v="0"/>
    <n v="0"/>
    <s v="C1.0_E0.0"/>
    <n v="924.91017251162805"/>
    <n v="0"/>
    <n v="0"/>
    <n v="0"/>
    <n v="0"/>
    <n v="0"/>
    <n v="0"/>
    <n v="0"/>
    <n v="0"/>
    <n v="16.698241997130101"/>
    <n v="0"/>
    <n v="15.696347477302"/>
    <n v="0"/>
    <n v="0"/>
    <n v="0"/>
    <n v="0"/>
    <n v="2.2896520912753398E-3"/>
  </r>
  <r>
    <x v="1"/>
    <x v="8"/>
    <n v="2030"/>
    <s v="Bornholm"/>
    <x v="1"/>
    <x v="0"/>
    <x v="0"/>
    <x v="0"/>
    <n v="0"/>
    <n v="0"/>
    <s v="C1.0_E0.0"/>
    <n v="940.27188626332304"/>
    <n v="0"/>
    <n v="0"/>
    <n v="0"/>
    <n v="0"/>
    <n v="0"/>
    <n v="0"/>
    <n v="0"/>
    <n v="0"/>
    <n v="16.6835506740418"/>
    <n v="0"/>
    <n v="0"/>
    <n v="0"/>
    <n v="0"/>
    <n v="0"/>
    <n v="0"/>
    <n v="2.2502632938135999E-3"/>
  </r>
  <r>
    <x v="1"/>
    <x v="9"/>
    <n v="2030"/>
    <s v="Bornholm"/>
    <x v="1"/>
    <x v="0"/>
    <x v="0"/>
    <x v="0"/>
    <n v="0"/>
    <n v="0"/>
    <s v="C1.0_E0.0"/>
    <n v="163.236923202496"/>
    <n v="40.809230800624"/>
    <n v="3.3358631650200401"/>
    <n v="1.2242769240187199"/>
    <n v="0"/>
    <n v="0"/>
    <n v="0"/>
    <n v="0"/>
    <n v="4.56014008903876"/>
    <n v="694.90388314107201"/>
    <n v="0"/>
    <n v="0"/>
    <n v="0"/>
    <n v="0"/>
    <n v="0"/>
    <n v="6.5622601911882001E-3"/>
    <n v="0.53988920083986203"/>
  </r>
  <r>
    <x v="1"/>
    <x v="10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1"/>
    <n v="2030"/>
    <s v="Bornholm"/>
    <x v="1"/>
    <x v="0"/>
    <x v="0"/>
    <x v="0"/>
    <n v="0"/>
    <n v="0"/>
    <s v="C1.0_E0.0"/>
    <n v="955.59983846333398"/>
    <n v="2194.64577396614"/>
    <n v="194.944751295636"/>
    <n v="35.926452367486696"/>
    <n v="11.393863959494"/>
    <n v="0"/>
    <n v="0"/>
    <n v="0"/>
    <n v="242.26506762261701"/>
    <n v="4046.7875743221398"/>
    <n v="0"/>
    <n v="0"/>
    <n v="0"/>
    <n v="0"/>
    <n v="0"/>
    <n v="5.9866020435529799E-2"/>
    <n v="0.53707216233352595"/>
  </r>
  <r>
    <x v="1"/>
    <x v="12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3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5"/>
    <n v="2030"/>
    <s v="Bornholm"/>
    <x v="1"/>
    <x v="0"/>
    <x v="0"/>
    <x v="0"/>
    <n v="0"/>
    <n v="0"/>
    <s v="C1.0_E0.0"/>
    <n v="490.01599368022801"/>
    <n v="0"/>
    <n v="0"/>
    <n v="0"/>
    <n v="0"/>
    <n v="0"/>
    <n v="0"/>
    <n v="0"/>
    <n v="0"/>
    <n v="19.661605116565902"/>
    <n v="0"/>
    <n v="0"/>
    <n v="0"/>
    <n v="0"/>
    <n v="0"/>
    <n v="0"/>
    <n v="5.0887019733934797E-3"/>
  </r>
  <r>
    <x v="1"/>
    <x v="16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7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8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0"/>
    <n v="2030"/>
    <s v="Bornholm"/>
    <x v="2"/>
    <x v="0"/>
    <x v="0"/>
    <x v="0"/>
    <n v="0"/>
    <n v="0"/>
    <s v="C1.0_E0.0"/>
    <n v="94.543189332053501"/>
    <n v="629.86185424043299"/>
    <n v="55.739987100923301"/>
    <n v="25.194474169617301"/>
    <n v="0"/>
    <n v="0"/>
    <n v="0"/>
    <n v="0"/>
    <n v="80.934461270540595"/>
    <n v="425.80645161289402"/>
    <n v="0"/>
    <n v="191.61290322577599"/>
    <n v="1.2219433018860399"/>
    <n v="65.695876445486405"/>
    <n v="236.505155203751"/>
    <n v="0.19007335601415201"/>
    <n v="0.57118959943882097"/>
  </r>
  <r>
    <x v="1"/>
    <x v="1"/>
    <n v="2030"/>
    <s v="Bornholm"/>
    <x v="2"/>
    <x v="0"/>
    <x v="0"/>
    <x v="0"/>
    <n v="0"/>
    <n v="0"/>
    <s v="C1.0_E0.0"/>
    <n v="223.07407492446501"/>
    <n v="26.990437239187798"/>
    <n v="3.15328050027852"/>
    <n v="0.80971311717563599"/>
    <n v="0"/>
    <n v="0"/>
    <n v="0"/>
    <n v="5.6061980596400801E-2"/>
    <n v="4.01905559805056"/>
    <n v="862.49200917539201"/>
    <n v="0"/>
    <n v="2.1562300229384599"/>
    <n v="0"/>
    <n v="0"/>
    <n v="0"/>
    <n v="4.6598177783618898E-3"/>
    <n v="0.490347857182866"/>
  </r>
  <r>
    <x v="1"/>
    <x v="2"/>
    <n v="2030"/>
    <s v="Bornholm"/>
    <x v="2"/>
    <x v="0"/>
    <x v="0"/>
    <x v="0"/>
    <n v="0"/>
    <n v="0"/>
    <s v="C1.0_E0.0"/>
    <n v="19.828806659952502"/>
    <n v="789.97965733250805"/>
    <n v="69.909704188717498"/>
    <n v="78.997965733250794"/>
    <n v="0"/>
    <n v="0"/>
    <n v="0"/>
    <n v="0"/>
    <n v="148.90766992196799"/>
    <n v="76.665956371144702"/>
    <n v="0"/>
    <n v="3817.9646272834002"/>
    <n v="0"/>
    <n v="0"/>
    <n v="0"/>
    <n v="1.9422919503031599"/>
    <n v="0.490347857182866"/>
  </r>
  <r>
    <x v="1"/>
    <x v="3"/>
    <n v="2030"/>
    <s v="Bornholm"/>
    <x v="2"/>
    <x v="0"/>
    <x v="0"/>
    <x v="0"/>
    <n v="0"/>
    <n v="0"/>
    <s v="C1.0_E0.0"/>
    <n v="17.017774079769602"/>
    <n v="0"/>
    <n v="0"/>
    <n v="0"/>
    <n v="0"/>
    <n v="0"/>
    <n v="0"/>
    <n v="0"/>
    <n v="0"/>
    <n v="76.645161290316594"/>
    <n v="0"/>
    <n v="0"/>
    <n v="0"/>
    <n v="0"/>
    <n v="0"/>
    <n v="0"/>
    <n v="0.57118959943882097"/>
  </r>
  <r>
    <x v="1"/>
    <x v="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5"/>
    <n v="2030"/>
    <s v="Bornholm"/>
    <x v="2"/>
    <x v="0"/>
    <x v="0"/>
    <x v="0"/>
    <n v="0"/>
    <n v="0"/>
    <s v="C1.0_E0.0"/>
    <n v="112.54830660189"/>
    <n v="0"/>
    <n v="0"/>
    <n v="0"/>
    <n v="0"/>
    <n v="0"/>
    <n v="0"/>
    <n v="0"/>
    <n v="0"/>
    <n v="435.15596836261398"/>
    <n v="0"/>
    <n v="0"/>
    <n v="0"/>
    <n v="0"/>
    <n v="0"/>
    <n v="0"/>
    <n v="0.490347857182866"/>
  </r>
  <r>
    <x v="1"/>
    <x v="6"/>
    <n v="2030"/>
    <s v="Bornholm"/>
    <x v="2"/>
    <x v="0"/>
    <x v="0"/>
    <x v="0"/>
    <n v="0"/>
    <n v="0"/>
    <s v="C1.0_E0.0"/>
    <n v="153.87153968123101"/>
    <n v="0"/>
    <n v="0"/>
    <n v="0"/>
    <n v="0"/>
    <n v="0"/>
    <n v="0"/>
    <n v="0"/>
    <n v="0"/>
    <n v="594.927821440098"/>
    <n v="0"/>
    <n v="0"/>
    <n v="0"/>
    <n v="0"/>
    <n v="0"/>
    <n v="0"/>
    <n v="0.490347857182866"/>
  </r>
  <r>
    <x v="1"/>
    <x v="7"/>
    <n v="2030"/>
    <s v="Bornholm"/>
    <x v="2"/>
    <x v="0"/>
    <x v="0"/>
    <x v="0"/>
    <n v="0"/>
    <n v="0"/>
    <s v="C1.0_E0.0"/>
    <n v="1078.15121035788"/>
    <n v="0"/>
    <n v="0"/>
    <n v="0"/>
    <n v="0"/>
    <n v="0"/>
    <n v="0"/>
    <n v="0"/>
    <n v="0"/>
    <n v="11.0828306035799"/>
    <n v="0"/>
    <n v="10.4178607673652"/>
    <n v="0"/>
    <n v="0"/>
    <n v="0"/>
    <n v="0"/>
    <n v="1.3036749564624001E-3"/>
  </r>
  <r>
    <x v="1"/>
    <x v="8"/>
    <n v="2030"/>
    <s v="Bornholm"/>
    <x v="2"/>
    <x v="0"/>
    <x v="0"/>
    <x v="0"/>
    <n v="0"/>
    <n v="0"/>
    <s v="C1.0_E0.0"/>
    <n v="1095.1689844376499"/>
    <n v="0"/>
    <n v="0"/>
    <n v="0"/>
    <n v="0"/>
    <n v="0"/>
    <n v="0"/>
    <n v="0"/>
    <n v="0"/>
    <n v="11.0620355227506"/>
    <n v="0"/>
    <n v="0"/>
    <n v="0"/>
    <n v="0"/>
    <n v="0"/>
    <n v="0"/>
    <n v="1.2810091008069401E-3"/>
  </r>
  <r>
    <x v="1"/>
    <x v="9"/>
    <n v="2030"/>
    <s v="Bornholm"/>
    <x v="2"/>
    <x v="0"/>
    <x v="0"/>
    <x v="0"/>
    <n v="0"/>
    <n v="0"/>
    <s v="C1.0_E0.0"/>
    <n v="231.056453662244"/>
    <n v="57.764113415561098"/>
    <n v="4.7218037297596798"/>
    <n v="1.7329234024668301"/>
    <n v="0"/>
    <n v="0"/>
    <n v="0"/>
    <n v="0"/>
    <n v="6.4547271322265196"/>
    <n v="998.17609508994099"/>
    <n v="0"/>
    <n v="0"/>
    <n v="0"/>
    <n v="0"/>
    <n v="0"/>
    <n v="6.46652145245464E-3"/>
    <n v="0.54788241813981697"/>
  </r>
  <r>
    <x v="1"/>
    <x v="10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1"/>
    <n v="2030"/>
    <s v="Bornholm"/>
    <x v="2"/>
    <x v="0"/>
    <x v="0"/>
    <x v="0"/>
    <n v="0"/>
    <n v="0"/>
    <s v="C1.0_E0.0"/>
    <n v="1111.5858662482401"/>
    <n v="2552.8857640716401"/>
    <n v="226.76629015338901"/>
    <n v="41.790857499889903"/>
    <n v="11.438279872195499"/>
    <n v="0"/>
    <n v="0"/>
    <n v="0"/>
    <n v="279.99542752547501"/>
    <n v="4062.5628867415599"/>
    <n v="0"/>
    <n v="0"/>
    <n v="0"/>
    <n v="0"/>
    <n v="0"/>
    <n v="6.8920884508460803E-2"/>
    <n v="0.46350602409637298"/>
  </r>
  <r>
    <x v="1"/>
    <x v="12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3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5"/>
    <n v="2030"/>
    <s v="Bornholm"/>
    <x v="2"/>
    <x v="0"/>
    <x v="0"/>
    <x v="0"/>
    <n v="0"/>
    <n v="0"/>
    <s v="C1.0_E0.0"/>
    <n v="445.63532923673699"/>
    <n v="0"/>
    <n v="0"/>
    <n v="0"/>
    <n v="0"/>
    <n v="0"/>
    <n v="0"/>
    <n v="0"/>
    <n v="0"/>
    <n v="40.411265441996498"/>
    <n v="0"/>
    <n v="0"/>
    <n v="0"/>
    <n v="0"/>
    <n v="0"/>
    <n v="0"/>
    <n v="1.1500616954238501E-2"/>
  </r>
  <r>
    <x v="1"/>
    <x v="16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7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8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0"/>
    <n v="2030"/>
    <s v="Bornholm"/>
    <x v="3"/>
    <x v="0"/>
    <x v="0"/>
    <x v="0"/>
    <n v="0"/>
    <n v="0"/>
    <s v="C1.0_E0.0"/>
    <n v="84.863295535122504"/>
    <n v="565.37285298227198"/>
    <n v="50.032995839139097"/>
    <n v="22.614914119290798"/>
    <n v="0"/>
    <n v="0"/>
    <n v="0"/>
    <n v="0"/>
    <n v="72.647909958430006"/>
    <n v="425.80645161290403"/>
    <n v="0"/>
    <n v="191.612903225791"/>
    <n v="1.0785670811849899"/>
    <n v="57.987477483064097"/>
    <n v="208.754918939031"/>
    <n v="0.170612515811463"/>
    <n v="0.63634208527638703"/>
  </r>
  <r>
    <x v="1"/>
    <x v="1"/>
    <n v="2030"/>
    <s v="Bornholm"/>
    <x v="3"/>
    <x v="0"/>
    <x v="0"/>
    <x v="0"/>
    <n v="0"/>
    <n v="0"/>
    <s v="C1.0_E0.0"/>
    <n v="196.36014127335099"/>
    <n v="23.758233990709201"/>
    <n v="2.77566366561804"/>
    <n v="0.71274701972127696"/>
    <n v="0"/>
    <n v="0"/>
    <n v="0"/>
    <n v="5.60570619759828E-2"/>
    <n v="3.5444677473152999"/>
    <n v="862.41633809203495"/>
    <n v="0"/>
    <n v="2.15604084522995"/>
    <n v="0"/>
    <n v="0"/>
    <n v="0"/>
    <n v="4.1099264830219903E-3"/>
    <n v="0.55700865299341196"/>
  </r>
  <r>
    <x v="1"/>
    <x v="2"/>
    <n v="2030"/>
    <s v="Bornholm"/>
    <x v="3"/>
    <x v="0"/>
    <x v="0"/>
    <x v="0"/>
    <n v="0"/>
    <n v="0"/>
    <s v="C1.0_E0.0"/>
    <n v="17.454234779853401"/>
    <n v="695.37671362936203"/>
    <n v="61.537762268085103"/>
    <n v="69.537671362936194"/>
    <n v="0"/>
    <n v="0"/>
    <n v="0"/>
    <n v="0"/>
    <n v="131.07543363102101"/>
    <n v="76.659230052625404"/>
    <n v="0"/>
    <n v="3817.6296566209198"/>
    <n v="0"/>
    <n v="0"/>
    <n v="0"/>
    <n v="1.7098454229326301"/>
    <n v="0.55700865299341196"/>
  </r>
  <r>
    <x v="1"/>
    <x v="3"/>
    <n v="2030"/>
    <s v="Bornholm"/>
    <x v="3"/>
    <x v="0"/>
    <x v="0"/>
    <x v="0"/>
    <n v="0"/>
    <n v="0"/>
    <s v="C1.0_E0.0"/>
    <n v="15.275393196322"/>
    <n v="0"/>
    <n v="0"/>
    <n v="0"/>
    <n v="0"/>
    <n v="0"/>
    <n v="0"/>
    <n v="0"/>
    <n v="0"/>
    <n v="76.645161290322093"/>
    <n v="0"/>
    <n v="0"/>
    <n v="0"/>
    <n v="0"/>
    <n v="0"/>
    <n v="0"/>
    <n v="0.63634208527638703"/>
  </r>
  <r>
    <x v="1"/>
    <x v="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5"/>
    <n v="2030"/>
    <s v="Bornholm"/>
    <x v="3"/>
    <x v="0"/>
    <x v="0"/>
    <x v="0"/>
    <n v="0"/>
    <n v="0"/>
    <s v="C1.0_E0.0"/>
    <n v="99.070236610448305"/>
    <n v="0"/>
    <n v="0"/>
    <n v="0"/>
    <n v="0"/>
    <n v="0"/>
    <n v="0"/>
    <n v="0"/>
    <n v="0"/>
    <n v="435.117789778705"/>
    <n v="0"/>
    <n v="0"/>
    <n v="0"/>
    <n v="0"/>
    <n v="0"/>
    <n v="0"/>
    <n v="0.55700865299341196"/>
  </r>
  <r>
    <x v="1"/>
    <x v="6"/>
    <n v="2030"/>
    <s v="Bornholm"/>
    <x v="3"/>
    <x v="0"/>
    <x v="0"/>
    <x v="0"/>
    <n v="0"/>
    <n v="0"/>
    <s v="C1.0_E0.0"/>
    <n v="135.44486189166301"/>
    <n v="0"/>
    <n v="0"/>
    <n v="0"/>
    <n v="0"/>
    <n v="0"/>
    <n v="0"/>
    <n v="0"/>
    <n v="0"/>
    <n v="594.87562520836298"/>
    <n v="0"/>
    <n v="0"/>
    <n v="0"/>
    <n v="0"/>
    <n v="0"/>
    <n v="0"/>
    <n v="0.55700865299341196"/>
  </r>
  <r>
    <x v="1"/>
    <x v="7"/>
    <n v="2030"/>
    <s v="Bornholm"/>
    <x v="3"/>
    <x v="0"/>
    <x v="0"/>
    <x v="0"/>
    <n v="0"/>
    <n v="0"/>
    <s v="C1.0_E0.0"/>
    <n v="947.26598182222403"/>
    <n v="0"/>
    <n v="0"/>
    <n v="0"/>
    <n v="0"/>
    <n v="0"/>
    <n v="0"/>
    <n v="0"/>
    <n v="0"/>
    <n v="10.202753823260499"/>
    <n v="0"/>
    <n v="9.5905885938651299"/>
    <n v="0"/>
    <n v="0"/>
    <n v="0"/>
    <n v="0"/>
    <n v="1.36597820205955E-3"/>
  </r>
  <r>
    <x v="1"/>
    <x v="8"/>
    <n v="2030"/>
    <s v="Bornholm"/>
    <x v="3"/>
    <x v="0"/>
    <x v="0"/>
    <x v="0"/>
    <n v="0"/>
    <n v="0"/>
    <s v="C1.0_E0.0"/>
    <n v="962.54137501854598"/>
    <n v="0"/>
    <n v="0"/>
    <n v="0"/>
    <n v="0"/>
    <n v="0"/>
    <n v="0"/>
    <n v="0"/>
    <n v="0"/>
    <n v="10.188685060955899"/>
    <n v="0"/>
    <n v="0"/>
    <n v="0"/>
    <n v="0"/>
    <n v="0"/>
    <n v="0"/>
    <n v="1.3424466443369199E-3"/>
  </r>
  <r>
    <x v="1"/>
    <x v="9"/>
    <n v="2030"/>
    <s v="Bornholm"/>
    <x v="3"/>
    <x v="0"/>
    <x v="0"/>
    <x v="0"/>
    <n v="0"/>
    <n v="0"/>
    <s v="C1.0_E0.0"/>
    <n v="156.31958116332399"/>
    <n v="39.079895290831203"/>
    <n v="3.1945023377292001"/>
    <n v="1.17239685872493"/>
    <n v="0"/>
    <n v="0"/>
    <n v="0"/>
    <n v="0"/>
    <n v="4.3668991964541402"/>
    <n v="745.35229311849798"/>
    <n v="0"/>
    <n v="0"/>
    <n v="0"/>
    <n v="0"/>
    <n v="0"/>
    <n v="5.8588391513271698E-3"/>
    <n v="0.60470911025461205"/>
  </r>
  <r>
    <x v="1"/>
    <x v="10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1"/>
    <n v="2030"/>
    <s v="Bornholm"/>
    <x v="3"/>
    <x v="0"/>
    <x v="0"/>
    <x v="0"/>
    <n v="0"/>
    <n v="0"/>
    <s v="C1.0_E0.0"/>
    <n v="977.49316410915299"/>
    <n v="2244.9263335400401"/>
    <n v="199.41104435186099"/>
    <n v="36.749547442769703"/>
    <n v="11.4655193379722"/>
    <n v="0"/>
    <n v="0"/>
    <n v="0"/>
    <n v="247.626111132603"/>
    <n v="4072.2375969212399"/>
    <n v="0"/>
    <n v="0"/>
    <n v="0"/>
    <n v="0"/>
    <n v="0"/>
    <n v="6.08083652387615E-2"/>
    <n v="0.52834509828787701"/>
  </r>
  <r>
    <x v="1"/>
    <x v="12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3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5"/>
    <n v="2030"/>
    <s v="Bornholm"/>
    <x v="3"/>
    <x v="0"/>
    <x v="0"/>
    <x v="0"/>
    <n v="0"/>
    <n v="0"/>
    <s v="C1.0_E0.0"/>
    <n v="871.95540211122704"/>
    <n v="0"/>
    <n v="0"/>
    <n v="0"/>
    <n v="0"/>
    <n v="0"/>
    <n v="0"/>
    <n v="0"/>
    <n v="0"/>
    <n v="51.248407635495703"/>
    <n v="0"/>
    <n v="0"/>
    <n v="0"/>
    <n v="0"/>
    <n v="0"/>
    <n v="0"/>
    <n v="7.4539144754249198E-3"/>
  </r>
  <r>
    <x v="1"/>
    <x v="16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7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8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0"/>
    <n v="2030"/>
    <s v="Bornholm"/>
    <x v="4"/>
    <x v="0"/>
    <x v="0"/>
    <x v="0"/>
    <n v="0"/>
    <n v="0"/>
    <s v="C1.0_E0.0"/>
    <n v="89.553952362204996"/>
    <n v="596.62275926938798"/>
    <n v="52.7984742716272"/>
    <n v="23.864910370775501"/>
    <n v="0"/>
    <n v="0"/>
    <n v="0"/>
    <n v="0"/>
    <n v="76.663384642402704"/>
    <n v="425.80645161290698"/>
    <n v="0"/>
    <n v="191.612903225818"/>
    <n v="1.0880856806941701"/>
    <n v="58.499230144847999"/>
    <n v="210.59722852145299"/>
    <n v="0.180042797266247"/>
    <n v="0.60301176017154301"/>
  </r>
  <r>
    <x v="1"/>
    <x v="1"/>
    <n v="2030"/>
    <s v="Bornholm"/>
    <x v="4"/>
    <x v="0"/>
    <x v="0"/>
    <x v="0"/>
    <n v="0"/>
    <n v="0"/>
    <s v="C1.0_E0.0"/>
    <n v="198.07843548337399"/>
    <n v="23.966135836989601"/>
    <n v="2.7999527437103402"/>
    <n v="0.71898407510968898"/>
    <n v="0"/>
    <n v="0"/>
    <n v="0"/>
    <n v="5.6054878851106299E-2"/>
    <n v="3.57499169767113"/>
    <n v="862.38275155548297"/>
    <n v="0"/>
    <n v="2.15595687888877"/>
    <n v="0"/>
    <n v="0"/>
    <n v="0"/>
    <n v="4.1454814480263004E-3"/>
    <n v="0.55215520042502098"/>
  </r>
  <r>
    <x v="1"/>
    <x v="2"/>
    <n v="2030"/>
    <s v="Bornholm"/>
    <x v="4"/>
    <x v="0"/>
    <x v="0"/>
    <x v="0"/>
    <n v="0"/>
    <n v="0"/>
    <s v="C1.0_E0.0"/>
    <n v="17.6069720429666"/>
    <n v="701.46176619179096"/>
    <n v="62.076262494848699"/>
    <n v="70.146176619179101"/>
    <n v="0"/>
    <n v="0"/>
    <n v="0"/>
    <n v="0"/>
    <n v="132.222439114027"/>
    <n v="76.656244582712901"/>
    <n v="0"/>
    <n v="3817.4809802188202"/>
    <n v="0"/>
    <n v="0"/>
    <n v="0"/>
    <n v="1.72487499007805"/>
    <n v="0.55215520042502098"/>
  </r>
  <r>
    <x v="1"/>
    <x v="3"/>
    <n v="2030"/>
    <s v="Bornholm"/>
    <x v="4"/>
    <x v="0"/>
    <x v="0"/>
    <x v="0"/>
    <n v="0"/>
    <n v="0"/>
    <s v="C1.0_E0.0"/>
    <n v="16.1197114251969"/>
    <n v="0"/>
    <n v="0"/>
    <n v="0"/>
    <n v="0"/>
    <n v="0"/>
    <n v="0"/>
    <n v="0"/>
    <n v="0"/>
    <n v="76.645161290331203"/>
    <n v="0"/>
    <n v="0"/>
    <n v="0"/>
    <n v="0"/>
    <n v="0"/>
    <n v="0"/>
    <n v="0.60301176017154301"/>
  </r>
  <r>
    <x v="1"/>
    <x v="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5"/>
    <n v="2030"/>
    <s v="Bornholm"/>
    <x v="4"/>
    <x v="0"/>
    <x v="0"/>
    <x v="0"/>
    <n v="0"/>
    <n v="0"/>
    <s v="C1.0_E0.0"/>
    <n v="99.937173315878596"/>
    <n v="0"/>
    <n v="0"/>
    <n v="0"/>
    <n v="0"/>
    <n v="0"/>
    <n v="0"/>
    <n v="0"/>
    <n v="0"/>
    <n v="435.10084425147198"/>
    <n v="0"/>
    <n v="0"/>
    <n v="0"/>
    <n v="0"/>
    <n v="0"/>
    <n v="0"/>
    <n v="0.55215520042502098"/>
  </r>
  <r>
    <x v="1"/>
    <x v="6"/>
    <n v="2030"/>
    <s v="Bornholm"/>
    <x v="4"/>
    <x v="0"/>
    <x v="0"/>
    <x v="0"/>
    <n v="0"/>
    <n v="0"/>
    <s v="C1.0_E0.0"/>
    <n v="136.63010305342101"/>
    <n v="0"/>
    <n v="0"/>
    <n v="0"/>
    <n v="0"/>
    <n v="0"/>
    <n v="0"/>
    <n v="0"/>
    <n v="0"/>
    <n v="594.85245796185905"/>
    <n v="0"/>
    <n v="0"/>
    <n v="0"/>
    <n v="0"/>
    <n v="0"/>
    <n v="0"/>
    <n v="0.55215520042502098"/>
  </r>
  <r>
    <x v="1"/>
    <x v="7"/>
    <n v="2030"/>
    <s v="Bornholm"/>
    <x v="4"/>
    <x v="0"/>
    <x v="0"/>
    <x v="0"/>
    <n v="0"/>
    <n v="0"/>
    <s v="C1.0_E0.0"/>
    <n v="944.84822371369103"/>
    <n v="0"/>
    <n v="0"/>
    <n v="0"/>
    <n v="0"/>
    <n v="0"/>
    <n v="0"/>
    <n v="0"/>
    <n v="0"/>
    <n v="8.0426863379949101"/>
    <n v="0"/>
    <n v="7.5601251577153699"/>
    <n v="0"/>
    <n v="0"/>
    <n v="0"/>
    <n v="0"/>
    <n v="1.0795366300561499E-3"/>
  </r>
  <r>
    <x v="1"/>
    <x v="8"/>
    <n v="2030"/>
    <s v="Bornholm"/>
    <x v="4"/>
    <x v="0"/>
    <x v="0"/>
    <x v="0"/>
    <n v="0"/>
    <n v="0"/>
    <s v="C1.0_E0.0"/>
    <n v="960.96793513888804"/>
    <n v="0"/>
    <n v="0"/>
    <n v="0"/>
    <n v="0"/>
    <n v="0"/>
    <n v="0"/>
    <n v="0"/>
    <n v="0"/>
    <n v="8.0316030456112397"/>
    <n v="0"/>
    <n v="0"/>
    <n v="0"/>
    <n v="0"/>
    <n v="0"/>
    <n v="0"/>
    <n v="1.0599652837517399E-3"/>
  </r>
  <r>
    <x v="1"/>
    <x v="9"/>
    <n v="2030"/>
    <s v="Bornholm"/>
    <x v="4"/>
    <x v="0"/>
    <x v="0"/>
    <x v="0"/>
    <n v="0"/>
    <n v="0"/>
    <s v="C1.0_E0.0"/>
    <n v="123.14769315655001"/>
    <n v="30.786923289137601"/>
    <n v="2.5166111036565102"/>
    <n v="0.92360769867412895"/>
    <n v="0"/>
    <n v="0"/>
    <n v="0"/>
    <n v="0"/>
    <n v="3.4402188023306399"/>
    <n v="589.65888574207395"/>
    <n v="0"/>
    <n v="0"/>
    <n v="0"/>
    <n v="0"/>
    <n v="0"/>
    <n v="5.8342524559791796E-3"/>
    <n v="0.60725747421041998"/>
  </r>
  <r>
    <x v="1"/>
    <x v="10"/>
    <n v="2030"/>
    <s v="Bornholm"/>
    <x v="4"/>
    <x v="0"/>
    <x v="0"/>
    <x v="0"/>
    <n v="0"/>
    <n v="0"/>
    <s v="C1.0_E0.0"/>
    <n v="2.9356515357022799"/>
    <n v="5.86581431882282"/>
    <n v="0.52104523066734199"/>
    <n v="0.11036789754437901"/>
    <n v="3.0931687128771E-2"/>
    <n v="0"/>
    <n v="0"/>
    <n v="0"/>
    <n v="0.66234481534049205"/>
    <n v="10.9860858064069"/>
    <n v="0"/>
    <n v="0"/>
    <n v="0"/>
    <n v="0"/>
    <n v="0"/>
    <n v="6.02894267359739E-2"/>
    <n v="0.47460989220037397"/>
  </r>
  <r>
    <x v="1"/>
    <x v="11"/>
    <n v="2030"/>
    <s v="Bornholm"/>
    <x v="4"/>
    <x v="0"/>
    <x v="0"/>
    <x v="0"/>
    <n v="0"/>
    <n v="0"/>
    <s v="C1.0_E0.0"/>
    <n v="974.38709462625798"/>
    <n v="2237.79288500865"/>
    <n v="198.77739842761801"/>
    <n v="36.632772561866801"/>
    <n v="11.3403526860087"/>
    <n v="0"/>
    <n v="0"/>
    <n v="0"/>
    <n v="246.75052367549301"/>
    <n v="4027.781839534"/>
    <n v="0"/>
    <n v="0"/>
    <n v="0"/>
    <n v="0"/>
    <n v="0"/>
    <n v="6.1262137202555397E-2"/>
    <n v="0.52424309448318496"/>
  </r>
  <r>
    <x v="1"/>
    <x v="12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3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5"/>
    <n v="2030"/>
    <s v="Bornholm"/>
    <x v="4"/>
    <x v="0"/>
    <x v="0"/>
    <x v="0"/>
    <n v="0"/>
    <n v="0"/>
    <s v="C1.0_E0.0"/>
    <n v="359.68220564366499"/>
    <n v="0"/>
    <n v="0"/>
    <n v="0"/>
    <n v="0"/>
    <n v="0"/>
    <n v="0"/>
    <n v="0"/>
    <n v="0"/>
    <n v="19.9579598593225"/>
    <n v="0"/>
    <n v="0"/>
    <n v="0"/>
    <n v="0"/>
    <n v="0"/>
    <n v="0"/>
    <n v="7.0371287100181997E-3"/>
  </r>
  <r>
    <x v="1"/>
    <x v="16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7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8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0"/>
    <n v="2030"/>
    <s v="Bornholm"/>
    <x v="5"/>
    <x v="0"/>
    <x v="0"/>
    <x v="0"/>
    <n v="0"/>
    <n v="0"/>
    <s v="C1.0_E0.0"/>
    <n v="77.448847781876495"/>
    <n v="515.97661573850598"/>
    <n v="45.661647410487298"/>
    <n v="20.639064629540201"/>
    <n v="0"/>
    <n v="0"/>
    <n v="0"/>
    <n v="0"/>
    <n v="66.300712040027506"/>
    <n v="425.80645161291"/>
    <n v="0"/>
    <n v="191.612903225808"/>
    <n v="1.16723186985521"/>
    <n v="62.754401605119"/>
    <n v="225.91584577842801"/>
    <n v="0.15570621766975901"/>
    <n v="0.697261327842291"/>
  </r>
  <r>
    <x v="1"/>
    <x v="1"/>
    <n v="2030"/>
    <s v="Bornholm"/>
    <x v="5"/>
    <x v="0"/>
    <x v="0"/>
    <x v="0"/>
    <n v="0"/>
    <n v="0"/>
    <s v="C1.0_E0.0"/>
    <n v="216.30393657190501"/>
    <n v="26.171296806274398"/>
    <n v="3.05758069626255"/>
    <n v="0.78513890418823196"/>
    <n v="0"/>
    <n v="0"/>
    <n v="0"/>
    <n v="5.6077338400341702E-2"/>
    <n v="3.8987969388511199"/>
    <n v="862.72828308218004"/>
    <n v="0"/>
    <n v="2.1568207077053798"/>
    <n v="0"/>
    <n v="0"/>
    <n v="0"/>
    <n v="4.5191481667000597E-3"/>
    <n v="0.50583388056321799"/>
  </r>
  <r>
    <x v="1"/>
    <x v="2"/>
    <n v="2030"/>
    <s v="Bornholm"/>
    <x v="5"/>
    <x v="0"/>
    <x v="0"/>
    <x v="0"/>
    <n v="0"/>
    <n v="0"/>
    <s v="C1.0_E0.0"/>
    <n v="19.227016584169299"/>
    <n v="766.00434071330801"/>
    <n v="67.787994753390095"/>
    <n v="76.600434071330795"/>
    <n v="0"/>
    <n v="0"/>
    <n v="0"/>
    <n v="0"/>
    <n v="144.38842882472099"/>
    <n v="76.686958496194194"/>
    <n v="0"/>
    <n v="3819.01053311025"/>
    <n v="0"/>
    <n v="0"/>
    <n v="0"/>
    <n v="1.8828289927796"/>
    <n v="0.50583388056321799"/>
  </r>
  <r>
    <x v="1"/>
    <x v="3"/>
    <n v="2030"/>
    <s v="Bornholm"/>
    <x v="5"/>
    <x v="0"/>
    <x v="0"/>
    <x v="0"/>
    <n v="0"/>
    <n v="0"/>
    <s v="C1.0_E0.0"/>
    <n v="13.9407926007377"/>
    <n v="0"/>
    <n v="0"/>
    <n v="0"/>
    <n v="0"/>
    <n v="0"/>
    <n v="0"/>
    <n v="0"/>
    <n v="0"/>
    <n v="76.645161290313496"/>
    <n v="0"/>
    <n v="0"/>
    <n v="0"/>
    <n v="0"/>
    <n v="0"/>
    <n v="0"/>
    <n v="0.697261327842291"/>
  </r>
  <r>
    <x v="1"/>
    <x v="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5"/>
    <n v="2030"/>
    <s v="Bornholm"/>
    <x v="5"/>
    <x v="0"/>
    <x v="0"/>
    <x v="0"/>
    <n v="0"/>
    <n v="0"/>
    <s v="C1.0_E0.0"/>
    <n v="109.132546131745"/>
    <n v="0"/>
    <n v="0"/>
    <n v="0"/>
    <n v="0"/>
    <n v="0"/>
    <n v="0"/>
    <n v="0"/>
    <n v="0"/>
    <n v="435.27517642437698"/>
    <n v="0"/>
    <n v="0"/>
    <n v="0"/>
    <n v="0"/>
    <n v="0"/>
    <n v="0"/>
    <n v="0.50583388056321799"/>
  </r>
  <r>
    <x v="1"/>
    <x v="6"/>
    <n v="2030"/>
    <s v="Bornholm"/>
    <x v="5"/>
    <x v="0"/>
    <x v="0"/>
    <x v="0"/>
    <n v="0"/>
    <n v="0"/>
    <s v="C1.0_E0.0"/>
    <n v="149.201648693154"/>
    <n v="0"/>
    <n v="0"/>
    <n v="0"/>
    <n v="0"/>
    <n v="0"/>
    <n v="0"/>
    <n v="0"/>
    <n v="0"/>
    <n v="595.09079793044498"/>
    <n v="0"/>
    <n v="0"/>
    <n v="0"/>
    <n v="0"/>
    <n v="0"/>
    <n v="0"/>
    <n v="0.50583388056321799"/>
  </r>
  <r>
    <x v="1"/>
    <x v="7"/>
    <n v="2030"/>
    <s v="Bornholm"/>
    <x v="5"/>
    <x v="0"/>
    <x v="0"/>
    <x v="0"/>
    <n v="0"/>
    <n v="0"/>
    <s v="C1.0_E0.0"/>
    <n v="1042.0917775769201"/>
    <n v="0"/>
    <n v="0"/>
    <n v="0"/>
    <n v="0"/>
    <n v="0"/>
    <n v="0"/>
    <n v="0"/>
    <n v="0"/>
    <n v="25.5596777988101"/>
    <n v="0"/>
    <n v="24.026097130881499"/>
    <n v="0"/>
    <n v="0"/>
    <n v="0"/>
    <n v="0"/>
    <n v="3.1106253576053799E-3"/>
  </r>
  <r>
    <x v="1"/>
    <x v="8"/>
    <n v="2030"/>
    <s v="Bornholm"/>
    <x v="5"/>
    <x v="0"/>
    <x v="0"/>
    <x v="0"/>
    <n v="0"/>
    <n v="0"/>
    <s v="C1.0_E0.0"/>
    <n v="1056.0325701776601"/>
    <n v="0"/>
    <n v="0"/>
    <n v="0"/>
    <n v="0"/>
    <n v="0"/>
    <n v="0"/>
    <n v="0"/>
    <n v="0"/>
    <n v="25.517880592938099"/>
    <n v="0"/>
    <n v="0"/>
    <n v="0"/>
    <n v="0"/>
    <n v="0"/>
    <n v="0"/>
    <n v="3.0645420882037902E-3"/>
  </r>
  <r>
    <x v="1"/>
    <x v="9"/>
    <n v="2030"/>
    <s v="Bornholm"/>
    <x v="5"/>
    <x v="0"/>
    <x v="0"/>
    <x v="0"/>
    <n v="0"/>
    <n v="0"/>
    <s v="C1.0_E0.0"/>
    <n v="464.413398576823"/>
    <n v="116.103349644205"/>
    <n v="9.4906196420547797"/>
    <n v="3.4831004893261701"/>
    <n v="0"/>
    <n v="0"/>
    <n v="0"/>
    <n v="0"/>
    <n v="12.973720131380899"/>
    <n v="2006.7829354744099"/>
    <n v="0"/>
    <n v="0"/>
    <n v="0"/>
    <n v="0"/>
    <n v="0"/>
    <n v="6.4649344490832596E-3"/>
    <n v="0.54801691157538002"/>
  </r>
  <r>
    <x v="1"/>
    <x v="10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1"/>
    <n v="2030"/>
    <s v="Bornholm"/>
    <x v="5"/>
    <x v="0"/>
    <x v="0"/>
    <x v="0"/>
    <n v="0"/>
    <n v="0"/>
    <s v="C1.0_E0.0"/>
    <n v="1067.8086867622601"/>
    <n v="2452.34639802324"/>
    <n v="217.835636312926"/>
    <n v="40.145023448562398"/>
    <n v="11.4725430160748"/>
    <n v="0"/>
    <n v="0"/>
    <n v="0"/>
    <n v="269.45320277756298"/>
    <n v="4074.7322144955301"/>
    <n v="0"/>
    <n v="0"/>
    <n v="0"/>
    <n v="0"/>
    <n v="0"/>
    <n v="6.6127830883954894E-2"/>
    <n v="0.48395382371590301"/>
  </r>
  <r>
    <x v="1"/>
    <x v="12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3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5"/>
    <n v="2030"/>
    <s v="Bornholm"/>
    <x v="5"/>
    <x v="0"/>
    <x v="0"/>
    <x v="0"/>
    <n v="0"/>
    <n v="0"/>
    <s v="C1.0_E0.0"/>
    <n v="969.95599274144695"/>
    <n v="0"/>
    <n v="0"/>
    <n v="0"/>
    <n v="0"/>
    <n v="0"/>
    <n v="0"/>
    <n v="0"/>
    <n v="0"/>
    <n v="37.925860320619996"/>
    <n v="0"/>
    <n v="0"/>
    <n v="0"/>
    <n v="0"/>
    <n v="0"/>
    <n v="0"/>
    <n v="4.9588584655441501E-3"/>
  </r>
  <r>
    <x v="1"/>
    <x v="16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7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8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0"/>
    <n v="2030"/>
    <s v="Bornholm"/>
    <x v="6"/>
    <x v="0"/>
    <x v="0"/>
    <x v="0"/>
    <n v="0"/>
    <n v="0"/>
    <s v="C1.0_E0.0"/>
    <n v="96.1614179459539"/>
    <n v="640.64275218281603"/>
    <n v="56.694048865735901"/>
    <n v="25.625710087312601"/>
    <n v="0"/>
    <n v="0"/>
    <n v="0"/>
    <n v="0"/>
    <n v="82.319758953048606"/>
    <n v="425.80645161289601"/>
    <n v="0"/>
    <n v="191.61290322578199"/>
    <n v="1.22930679643823"/>
    <n v="66.091763249367602"/>
    <n v="237.93034769772299"/>
    <n v="0.193326706632162"/>
    <n v="0.56157747668189895"/>
  </r>
  <r>
    <x v="0"/>
    <x v="1"/>
    <n v="2030"/>
    <s v="Bornholm"/>
    <x v="6"/>
    <x v="0"/>
    <x v="0"/>
    <x v="0"/>
    <n v="0"/>
    <n v="0"/>
    <s v="C1.0_E0.0"/>
    <n v="218.45764285069899"/>
    <n v="26.431880534657498"/>
    <n v="3.0880245746672799"/>
    <n v="0.792956416039727"/>
    <n v="0"/>
    <n v="0"/>
    <n v="0"/>
    <n v="5.6060309179808698E-2"/>
    <n v="3.9370412998868201"/>
    <n v="862.46629507406203"/>
    <n v="0"/>
    <n v="2.15616573768513"/>
    <n v="0"/>
    <n v="0"/>
    <n v="0"/>
    <n v="4.5648639516385299E-3"/>
    <n v="0.50069492677550298"/>
  </r>
  <r>
    <x v="0"/>
    <x v="2"/>
    <n v="2030"/>
    <s v="Bornholm"/>
    <x v="6"/>
    <x v="0"/>
    <x v="0"/>
    <x v="0"/>
    <n v="0"/>
    <n v="0"/>
    <s v="C1.0_E0.0"/>
    <n v="19.418457142284399"/>
    <n v="773.631332548611"/>
    <n v="68.462949783062896"/>
    <n v="77.363133254861097"/>
    <n v="0"/>
    <n v="0"/>
    <n v="0"/>
    <n v="0"/>
    <n v="145.82608303792401"/>
    <n v="76.663670673245903"/>
    <n v="0"/>
    <n v="3817.8507995279501"/>
    <n v="0"/>
    <n v="0"/>
    <n v="0"/>
    <n v="1.90215367666727"/>
    <n v="0.50069492677550298"/>
  </r>
  <r>
    <x v="0"/>
    <x v="3"/>
    <n v="2030"/>
    <s v="Bornholm"/>
    <x v="6"/>
    <x v="0"/>
    <x v="0"/>
    <x v="0"/>
    <n v="0"/>
    <n v="0"/>
    <s v="C1.0_E0.0"/>
    <n v="17.309055230271699"/>
    <n v="0"/>
    <n v="0"/>
    <n v="0"/>
    <n v="0"/>
    <n v="0"/>
    <n v="0"/>
    <n v="0"/>
    <n v="0"/>
    <n v="76.645161290317105"/>
    <n v="0"/>
    <n v="0"/>
    <n v="0"/>
    <n v="0"/>
    <n v="0"/>
    <n v="0"/>
    <n v="0.56157747668189895"/>
  </r>
  <r>
    <x v="0"/>
    <x v="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5"/>
    <n v="2030"/>
    <s v="Bornholm"/>
    <x v="6"/>
    <x v="0"/>
    <x v="0"/>
    <x v="0"/>
    <n v="0"/>
    <n v="0"/>
    <s v="C1.0_E0.0"/>
    <n v="110.21916273960601"/>
    <n v="0"/>
    <n v="0"/>
    <n v="0"/>
    <n v="0"/>
    <n v="0"/>
    <n v="0"/>
    <n v="0"/>
    <n v="0"/>
    <n v="435.14299474136499"/>
    <n v="0"/>
    <n v="0"/>
    <n v="0"/>
    <n v="0"/>
    <n v="0"/>
    <n v="0"/>
    <n v="0.50069492677550298"/>
  </r>
  <r>
    <x v="0"/>
    <x v="6"/>
    <n v="2030"/>
    <s v="Bornholm"/>
    <x v="6"/>
    <x v="0"/>
    <x v="0"/>
    <x v="0"/>
    <n v="0"/>
    <n v="0"/>
    <s v="C1.0_E0.0"/>
    <n v="150.687227424127"/>
    <n v="0"/>
    <n v="0"/>
    <n v="0"/>
    <n v="0"/>
    <n v="0"/>
    <n v="0"/>
    <n v="0"/>
    <n v="0"/>
    <n v="594.910084424405"/>
    <n v="0"/>
    <n v="0"/>
    <n v="0"/>
    <n v="0"/>
    <n v="0"/>
    <n v="0"/>
    <n v="0.50069492677550298"/>
  </r>
  <r>
    <x v="0"/>
    <x v="7"/>
    <n v="2030"/>
    <s v="Bornholm"/>
    <x v="6"/>
    <x v="0"/>
    <x v="0"/>
    <x v="0"/>
    <n v="0"/>
    <n v="0"/>
    <s v="C1.0_E0.0"/>
    <n v="263.41860458677297"/>
    <n v="0"/>
    <n v="0"/>
    <n v="0"/>
    <n v="0"/>
    <n v="0"/>
    <n v="0"/>
    <n v="0"/>
    <n v="0"/>
    <n v="24.480931053507099"/>
    <n v="0"/>
    <n v="23.0120751902965"/>
    <n v="0"/>
    <n v="0"/>
    <n v="0"/>
    <n v="0"/>
    <n v="1.17863623430523E-2"/>
  </r>
  <r>
    <x v="0"/>
    <x v="8"/>
    <n v="2030"/>
    <s v="Bornholm"/>
    <x v="6"/>
    <x v="0"/>
    <x v="0"/>
    <x v="0"/>
    <n v="0"/>
    <n v="0"/>
    <s v="C1.0_E0.0"/>
    <n v="265.528006498786"/>
    <n v="0"/>
    <n v="0"/>
    <n v="0"/>
    <n v="0"/>
    <n v="0"/>
    <n v="0"/>
    <n v="0"/>
    <n v="0"/>
    <n v="24.462421670575601"/>
    <n v="0"/>
    <n v="0"/>
    <n v="0"/>
    <n v="0"/>
    <n v="0"/>
    <n v="0"/>
    <n v="1.16838888126456E-2"/>
  </r>
  <r>
    <x v="0"/>
    <x v="9"/>
    <n v="2030"/>
    <s v="Bornholm"/>
    <x v="6"/>
    <x v="0"/>
    <x v="0"/>
    <x v="0"/>
    <n v="0"/>
    <n v="0"/>
    <s v="C1.0_E0.0"/>
    <n v="205.659810348126"/>
    <n v="51.4149525870316"/>
    <n v="4.2028051767079102"/>
    <n v="1.54244857761094"/>
    <n v="0"/>
    <n v="0"/>
    <n v="0"/>
    <n v="0"/>
    <n v="5.7452537543188598"/>
    <n v="908.33089906866996"/>
    <n v="0"/>
    <n v="0"/>
    <n v="0"/>
    <n v="0"/>
    <n v="0"/>
    <n v="6.3250669554559703E-3"/>
    <n v="0.56013532113960895"/>
  </r>
  <r>
    <x v="0"/>
    <x v="10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1"/>
    <n v="2030"/>
    <s v="Bornholm"/>
    <x v="6"/>
    <x v="0"/>
    <x v="0"/>
    <x v="0"/>
    <n v="0"/>
    <n v="0"/>
    <s v="C1.0_E0.0"/>
    <n v="1110.20583762563"/>
    <n v="2549.7163684076099"/>
    <n v="226.48476087116501"/>
    <n v="41.738974346941802"/>
    <n v="11.532872882304099"/>
    <n v="0"/>
    <n v="0"/>
    <n v="0"/>
    <n v="279.75660810041097"/>
    <n v="4096.1597261705201"/>
    <n v="0"/>
    <n v="0"/>
    <n v="0"/>
    <n v="0"/>
    <n v="0"/>
    <n v="6.82972898525014E-2"/>
    <n v="0.46792007609383501"/>
  </r>
  <r>
    <x v="0"/>
    <x v="12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3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5"/>
    <n v="2030"/>
    <s v="Bornholm"/>
    <x v="6"/>
    <x v="0"/>
    <x v="0"/>
    <x v="0"/>
    <n v="0"/>
    <n v="0"/>
    <s v="C1.0_E0.0"/>
    <n v="1011.4229076686599"/>
    <n v="0"/>
    <n v="0"/>
    <n v="0"/>
    <n v="0"/>
    <n v="0"/>
    <n v="0"/>
    <n v="0"/>
    <n v="0"/>
    <n v="59.664578443712401"/>
    <n v="0"/>
    <n v="0"/>
    <n v="0"/>
    <n v="0"/>
    <n v="0"/>
    <n v="0"/>
    <n v="7.4813865250728598E-3"/>
  </r>
  <r>
    <x v="0"/>
    <x v="16"/>
    <n v="2030"/>
    <s v="Bornholm"/>
    <x v="6"/>
    <x v="0"/>
    <x v="0"/>
    <x v="0"/>
    <n v="0"/>
    <n v="0"/>
    <s v="C1.0_E0.0"/>
    <n v="92.686255783995307"/>
    <n v="0"/>
    <n v="0"/>
    <n v="0"/>
    <n v="3.4972749827831502E-2"/>
    <n v="0"/>
    <n v="0"/>
    <n v="0"/>
    <n v="3.4972749827831502E-2"/>
    <n v="18.6320404490898"/>
    <n v="0"/>
    <n v="0.93160202245448898"/>
    <n v="0"/>
    <n v="0"/>
    <n v="0"/>
    <n v="1.8770219999999999E-3"/>
    <n v="2.54943170376766E-2"/>
  </r>
  <r>
    <x v="0"/>
    <x v="17"/>
    <n v="2030"/>
    <s v="Bornholm"/>
    <x v="6"/>
    <x v="0"/>
    <x v="0"/>
    <x v="0"/>
    <n v="0"/>
    <n v="0"/>
    <s v="C1.0_E0.0"/>
    <n v="277.037840184532"/>
    <n v="0"/>
    <n v="0"/>
    <n v="0"/>
    <n v="0"/>
    <n v="0"/>
    <n v="0"/>
    <n v="0"/>
    <n v="0"/>
    <n v="18.6320404490897"/>
    <n v="0"/>
    <n v="0.93160202245450097"/>
    <n v="0"/>
    <n v="0"/>
    <n v="0"/>
    <n v="0"/>
    <n v="8.5294225092805206E-3"/>
  </r>
  <r>
    <x v="0"/>
    <x v="18"/>
    <n v="2030"/>
    <s v="Bornholm"/>
    <x v="6"/>
    <x v="0"/>
    <x v="0"/>
    <x v="0"/>
    <n v="0"/>
    <n v="0"/>
    <s v="C1.0_E0.0"/>
    <n v="277.037840184532"/>
    <n v="49.866811233215699"/>
    <n v="5.0790448710701197"/>
    <n v="0.74800216849823598"/>
    <n v="0"/>
    <n v="0"/>
    <n v="0"/>
    <n v="0"/>
    <n v="5.8270470395683596"/>
    <n v="1041.4386421905399"/>
    <n v="0"/>
    <n v="0"/>
    <n v="0"/>
    <n v="0"/>
    <n v="0"/>
    <n v="5.5951899646356799E-3"/>
    <n v="0.476752410505213"/>
  </r>
  <r>
    <x v="0"/>
    <x v="0"/>
    <n v="2030"/>
    <s v="Bornholm"/>
    <x v="1"/>
    <x v="0"/>
    <x v="0"/>
    <x v="0"/>
    <n v="0"/>
    <n v="0"/>
    <s v="C1.0_E0.0"/>
    <n v="83.628262974111394"/>
    <n v="557.144868455606"/>
    <n v="49.304855615540298"/>
    <n v="22.285794738224201"/>
    <n v="0"/>
    <n v="0"/>
    <n v="0"/>
    <n v="0"/>
    <n v="71.590650353764502"/>
    <n v="425.80645161289601"/>
    <n v="0"/>
    <n v="191.612903225818"/>
    <n v="1.06833410660344"/>
    <n v="57.437317559325102"/>
    <n v="206.77434321357001"/>
    <n v="0.16812955764899501"/>
    <n v="0.645739664124927"/>
  </r>
  <r>
    <x v="0"/>
    <x v="1"/>
    <n v="2030"/>
    <s v="Bornholm"/>
    <x v="1"/>
    <x v="0"/>
    <x v="0"/>
    <x v="0"/>
    <n v="0"/>
    <n v="0"/>
    <s v="C1.0_E0.0"/>
    <n v="193.27424532323101"/>
    <n v="23.384861688272899"/>
    <n v="2.73204274943269"/>
    <n v="0.70154585064818797"/>
    <n v="0"/>
    <n v="0"/>
    <n v="0"/>
    <n v="5.6059618467151399E-2"/>
    <n v="3.4896482185480302"/>
    <n v="862.45566872531901"/>
    <n v="0"/>
    <n v="2.15613917181342"/>
    <n v="0"/>
    <n v="0"/>
    <n v="0"/>
    <n v="4.0461769167864699E-3"/>
    <n v="0.56592788988242904"/>
  </r>
  <r>
    <x v="0"/>
    <x v="2"/>
    <n v="2030"/>
    <s v="Bornholm"/>
    <x v="1"/>
    <x v="0"/>
    <x v="0"/>
    <x v="0"/>
    <n v="0"/>
    <n v="0"/>
    <s v="C1.0_E0.0"/>
    <n v="17.179932917620501"/>
    <n v="684.44852743800197"/>
    <n v="60.570666144955901"/>
    <n v="68.444852743800197"/>
    <n v="0"/>
    <n v="0"/>
    <n v="0"/>
    <n v="0"/>
    <n v="129.01551888875599"/>
    <n v="76.662726108918804"/>
    <n v="0"/>
    <n v="3817.8037602238101"/>
    <n v="0"/>
    <n v="0"/>
    <n v="0"/>
    <n v="1.68289761448682"/>
    <n v="0.56592788988242904"/>
  </r>
  <r>
    <x v="0"/>
    <x v="3"/>
    <n v="2030"/>
    <s v="Bornholm"/>
    <x v="1"/>
    <x v="0"/>
    <x v="0"/>
    <x v="0"/>
    <n v="0"/>
    <n v="0"/>
    <s v="C1.0_E0.0"/>
    <n v="15.053087335340001"/>
    <n v="0"/>
    <n v="0"/>
    <n v="0"/>
    <n v="0"/>
    <n v="0"/>
    <n v="0"/>
    <n v="0"/>
    <n v="0"/>
    <n v="76.645161290325802"/>
    <n v="0"/>
    <n v="0"/>
    <n v="0"/>
    <n v="0"/>
    <n v="0"/>
    <n v="0"/>
    <n v="0.645739664124927"/>
  </r>
  <r>
    <x v="0"/>
    <x v="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5"/>
    <n v="2030"/>
    <s v="Bornholm"/>
    <x v="1"/>
    <x v="0"/>
    <x v="0"/>
    <x v="0"/>
    <n v="0"/>
    <n v="0"/>
    <s v="C1.0_E0.0"/>
    <n v="97.513299240414099"/>
    <n v="0"/>
    <n v="0"/>
    <n v="0"/>
    <n v="0"/>
    <n v="0"/>
    <n v="0"/>
    <n v="0"/>
    <n v="0"/>
    <n v="435.137633394224"/>
    <n v="0"/>
    <n v="0"/>
    <n v="0"/>
    <n v="0"/>
    <n v="0"/>
    <n v="0"/>
    <n v="0.56592788988242904"/>
  </r>
  <r>
    <x v="0"/>
    <x v="6"/>
    <n v="2030"/>
    <s v="Bornholm"/>
    <x v="1"/>
    <x v="0"/>
    <x v="0"/>
    <x v="0"/>
    <n v="0"/>
    <n v="0"/>
    <s v="C1.0_E0.0"/>
    <n v="133.316279440735"/>
    <n v="0"/>
    <n v="0"/>
    <n v="0"/>
    <n v="0"/>
    <n v="0"/>
    <n v="0"/>
    <n v="0"/>
    <n v="0"/>
    <n v="594.90275460524595"/>
    <n v="0"/>
    <n v="0"/>
    <n v="0"/>
    <n v="0"/>
    <n v="0"/>
    <n v="0"/>
    <n v="0.56592788988242904"/>
  </r>
  <r>
    <x v="0"/>
    <x v="7"/>
    <n v="2030"/>
    <s v="Bornholm"/>
    <x v="1"/>
    <x v="0"/>
    <x v="0"/>
    <x v="0"/>
    <n v="0"/>
    <n v="0"/>
    <s v="C1.0_E0.0"/>
    <n v="928.43188572175802"/>
    <n v="0"/>
    <n v="0"/>
    <n v="0"/>
    <n v="0"/>
    <n v="0"/>
    <n v="0"/>
    <n v="0"/>
    <n v="0"/>
    <n v="20.251947185834201"/>
    <n v="0"/>
    <n v="19.0368303546846"/>
    <n v="0"/>
    <n v="0"/>
    <n v="0"/>
    <n v="0"/>
    <n v="2.7664004156639698E-3"/>
  </r>
  <r>
    <x v="0"/>
    <x v="8"/>
    <n v="2030"/>
    <s v="Bornholm"/>
    <x v="1"/>
    <x v="0"/>
    <x v="0"/>
    <x v="0"/>
    <n v="0"/>
    <n v="0"/>
    <s v="C1.0_E0.0"/>
    <n v="943.48497305709805"/>
    <n v="0"/>
    <n v="0"/>
    <n v="0"/>
    <n v="0"/>
    <n v="0"/>
    <n v="0"/>
    <n v="0"/>
    <n v="0"/>
    <n v="20.234382367243601"/>
    <n v="0"/>
    <n v="0"/>
    <n v="0"/>
    <n v="0"/>
    <n v="0"/>
    <n v="0"/>
    <n v="2.7199020688547602E-3"/>
  </r>
  <r>
    <x v="0"/>
    <x v="9"/>
    <n v="2030"/>
    <s v="Bornholm"/>
    <x v="1"/>
    <x v="0"/>
    <x v="0"/>
    <x v="0"/>
    <n v="0"/>
    <n v="0"/>
    <s v="C1.0_E0.0"/>
    <n v="195.16465100984399"/>
    <n v="48.791162752461098"/>
    <n v="3.98832909641472"/>
    <n v="1.4637348825738301"/>
    <n v="0"/>
    <n v="0"/>
    <n v="0"/>
    <n v="0"/>
    <n v="5.4520639789885603"/>
    <n v="851.84327340789696"/>
    <n v="0"/>
    <n v="0"/>
    <n v="0"/>
    <n v="0"/>
    <n v="0"/>
    <n v="6.4003134721918303E-3"/>
    <n v="0.55354998246838405"/>
  </r>
  <r>
    <x v="0"/>
    <x v="10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1"/>
    <n v="2030"/>
    <s v="Bornholm"/>
    <x v="1"/>
    <x v="0"/>
    <x v="0"/>
    <x v="0"/>
    <n v="0"/>
    <n v="0"/>
    <s v="C1.0_E0.0"/>
    <n v="958.27230622821298"/>
    <n v="2200.78340590179"/>
    <n v="195.48994138755501"/>
    <n v="36.026925684867003"/>
    <n v="11.4257284836634"/>
    <n v="0"/>
    <n v="0"/>
    <n v="0"/>
    <n v="242.94259555608599"/>
    <n v="4058.10497822767"/>
    <n v="0"/>
    <n v="0"/>
    <n v="0"/>
    <n v="0"/>
    <n v="0"/>
    <n v="5.9866020435525497E-2"/>
    <n v="0.53707216233352595"/>
  </r>
  <r>
    <x v="0"/>
    <x v="12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3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5"/>
    <n v="2030"/>
    <s v="Bornholm"/>
    <x v="1"/>
    <x v="0"/>
    <x v="0"/>
    <x v="0"/>
    <n v="0"/>
    <n v="0"/>
    <s v="C1.0_E0.0"/>
    <n v="537.36635117569904"/>
    <n v="0"/>
    <n v="0"/>
    <n v="0"/>
    <n v="0"/>
    <n v="0"/>
    <n v="0"/>
    <n v="0"/>
    <n v="0"/>
    <n v="26.5669188975303"/>
    <n v="0"/>
    <n v="0"/>
    <n v="0"/>
    <n v="0"/>
    <n v="0"/>
    <n v="0"/>
    <n v="6.2700214130775598E-3"/>
  </r>
  <r>
    <x v="0"/>
    <x v="16"/>
    <n v="2030"/>
    <s v="Bornholm"/>
    <x v="1"/>
    <x v="0"/>
    <x v="0"/>
    <x v="0"/>
    <n v="0"/>
    <n v="0"/>
    <s v="C1.0_E0.0"/>
    <n v="99.913788041078305"/>
    <n v="0"/>
    <n v="0"/>
    <n v="0"/>
    <n v="1.74267669145176E-2"/>
    <n v="0"/>
    <n v="0"/>
    <n v="0"/>
    <n v="1.74267669145176E-2"/>
    <n v="9.2842635379434402"/>
    <n v="0"/>
    <n v="0.46421317689717101"/>
    <n v="0"/>
    <n v="0"/>
    <n v="0"/>
    <n v="1.8770219999999899E-3"/>
    <n v="1.17847490043065E-2"/>
  </r>
  <r>
    <x v="0"/>
    <x v="17"/>
    <n v="2030"/>
    <s v="Bornholm"/>
    <x v="1"/>
    <x v="0"/>
    <x v="0"/>
    <x v="0"/>
    <n v="0"/>
    <n v="0"/>
    <s v="C1.0_E0.0"/>
    <n v="113.89749548898099"/>
    <n v="0"/>
    <n v="0"/>
    <n v="0"/>
    <n v="0"/>
    <n v="0"/>
    <n v="0"/>
    <n v="0"/>
    <n v="0"/>
    <n v="9.2842635379434295"/>
    <n v="0"/>
    <n v="0.46421317689717101"/>
    <n v="0"/>
    <n v="0"/>
    <n v="0"/>
    <n v="0"/>
    <n v="1.0337882401000699E-2"/>
  </r>
  <r>
    <x v="0"/>
    <x v="18"/>
    <n v="2030"/>
    <s v="Bornholm"/>
    <x v="1"/>
    <x v="0"/>
    <x v="0"/>
    <x v="0"/>
    <n v="0"/>
    <n v="0"/>
    <s v="C1.0_E0.0"/>
    <n v="113.89749548898099"/>
    <n v="20.5015491880166"/>
    <n v="2.0881280690959598"/>
    <n v="0.30752323782024898"/>
    <n v="0"/>
    <n v="0"/>
    <n v="0"/>
    <n v="0"/>
    <n v="2.3956513069162102"/>
    <n v="455.61343973210802"/>
    <n v="0"/>
    <n v="0"/>
    <n v="0"/>
    <n v="0"/>
    <n v="0"/>
    <n v="5.2580786649419299E-3"/>
    <n v="0.50731844707084295"/>
  </r>
  <r>
    <x v="0"/>
    <x v="0"/>
    <n v="2030"/>
    <s v="Bornholm"/>
    <x v="2"/>
    <x v="0"/>
    <x v="0"/>
    <x v="0"/>
    <n v="0"/>
    <n v="0"/>
    <s v="C1.0_E0.0"/>
    <n v="93.714204554132607"/>
    <n v="624.33902501236003"/>
    <n v="55.251241151536298"/>
    <n v="24.973561000494399"/>
    <n v="0"/>
    <n v="0"/>
    <n v="0"/>
    <n v="0"/>
    <n v="80.224802152030705"/>
    <n v="425.80645161289402"/>
    <n v="0"/>
    <n v="191.612903225808"/>
    <n v="1.2268764852949201"/>
    <n v="65.961101359942404"/>
    <n v="237.45996489579201"/>
    <n v="0.18840673232674199"/>
    <n v="0.57624227512972004"/>
  </r>
  <r>
    <x v="0"/>
    <x v="1"/>
    <n v="2030"/>
    <s v="Bornholm"/>
    <x v="2"/>
    <x v="0"/>
    <x v="0"/>
    <x v="0"/>
    <n v="0"/>
    <n v="0"/>
    <s v="C1.0_E0.0"/>
    <n v="220.47583712286601"/>
    <n v="26.6760682371408"/>
    <n v="3.1165529128273799"/>
    <n v="0.80028204711422601"/>
    <n v="0"/>
    <n v="0"/>
    <n v="0"/>
    <n v="5.6062954723682203E-2"/>
    <n v="3.9728979146652899"/>
    <n v="862.50699574898499"/>
    <n v="0"/>
    <n v="2.1562674893723002"/>
    <n v="0"/>
    <n v="0"/>
    <n v="0"/>
    <n v="4.6062210906652398E-3"/>
    <n v="0.49613507177545502"/>
  </r>
  <r>
    <x v="0"/>
    <x v="2"/>
    <n v="2030"/>
    <s v="Bornholm"/>
    <x v="2"/>
    <x v="0"/>
    <x v="0"/>
    <x v="0"/>
    <n v="0"/>
    <n v="0"/>
    <s v="C1.0_E0.0"/>
    <n v="19.5978521886992"/>
    <n v="780.77843119777697"/>
    <n v="69.095436389183803"/>
    <n v="78.077843119777697"/>
    <n v="0"/>
    <n v="0"/>
    <n v="0"/>
    <n v="0"/>
    <n v="147.173279508961"/>
    <n v="76.667288511018697"/>
    <n v="0"/>
    <n v="3818.0309678487602"/>
    <n v="0"/>
    <n v="0"/>
    <n v="0"/>
    <n v="1.9196359016637099"/>
    <n v="0.49613507177545502"/>
  </r>
  <r>
    <x v="0"/>
    <x v="3"/>
    <n v="2030"/>
    <s v="Bornholm"/>
    <x v="2"/>
    <x v="0"/>
    <x v="0"/>
    <x v="0"/>
    <n v="0"/>
    <n v="0"/>
    <s v="C1.0_E0.0"/>
    <n v="16.868556819743802"/>
    <n v="0"/>
    <n v="0"/>
    <n v="0"/>
    <n v="0"/>
    <n v="0"/>
    <n v="0"/>
    <n v="0"/>
    <n v="0"/>
    <n v="76.645161290313595"/>
    <n v="0"/>
    <n v="0"/>
    <n v="0"/>
    <n v="0"/>
    <n v="0"/>
    <n v="0"/>
    <n v="0.57624227512972004"/>
  </r>
  <r>
    <x v="0"/>
    <x v="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5"/>
    <n v="2030"/>
    <s v="Bornholm"/>
    <x v="2"/>
    <x v="0"/>
    <x v="0"/>
    <x v="0"/>
    <n v="0"/>
    <n v="0"/>
    <s v="C1.0_E0.0"/>
    <n v="111.237409023056"/>
    <n v="0"/>
    <n v="0"/>
    <n v="0"/>
    <n v="0"/>
    <n v="0"/>
    <n v="0"/>
    <n v="0"/>
    <n v="0"/>
    <n v="435.16352958852298"/>
    <n v="0"/>
    <n v="0"/>
    <n v="0"/>
    <n v="0"/>
    <n v="0"/>
    <n v="0"/>
    <n v="0.49613507177545502"/>
  </r>
  <r>
    <x v="0"/>
    <x v="6"/>
    <n v="2030"/>
    <s v="Bornholm"/>
    <x v="2"/>
    <x v="0"/>
    <x v="0"/>
    <x v="0"/>
    <n v="0"/>
    <n v="0"/>
    <s v="C1.0_E0.0"/>
    <n v="152.07933298430501"/>
    <n v="0"/>
    <n v="0"/>
    <n v="0"/>
    <n v="0"/>
    <n v="0"/>
    <n v="0"/>
    <n v="0"/>
    <n v="0"/>
    <n v="594.93815884551304"/>
    <n v="0"/>
    <n v="0"/>
    <n v="0"/>
    <n v="0"/>
    <n v="0"/>
    <n v="0"/>
    <n v="0.49613507177545502"/>
  </r>
  <r>
    <x v="0"/>
    <x v="7"/>
    <n v="2030"/>
    <s v="Bornholm"/>
    <x v="2"/>
    <x v="0"/>
    <x v="0"/>
    <x v="0"/>
    <n v="0"/>
    <n v="0"/>
    <s v="C1.0_E0.0"/>
    <n v="1044.46594565805"/>
    <n v="0"/>
    <n v="0"/>
    <n v="0"/>
    <n v="0"/>
    <n v="0"/>
    <n v="0"/>
    <n v="0"/>
    <n v="0"/>
    <n v="16.707255957153201"/>
    <n v="0"/>
    <n v="15.7048205997254"/>
    <n v="0"/>
    <n v="0"/>
    <n v="0"/>
    <n v="0"/>
    <n v="2.0286594289941101E-3"/>
  </r>
  <r>
    <x v="0"/>
    <x v="8"/>
    <n v="2030"/>
    <s v="Bornholm"/>
    <x v="2"/>
    <x v="0"/>
    <x v="0"/>
    <x v="0"/>
    <n v="0"/>
    <n v="0"/>
    <s v="C1.0_E0.0"/>
    <n v="1061.33450247779"/>
    <n v="0"/>
    <n v="0"/>
    <n v="0"/>
    <n v="0"/>
    <n v="0"/>
    <n v="0"/>
    <n v="0"/>
    <n v="0"/>
    <n v="16.685128736455098"/>
    <n v="0"/>
    <n v="0"/>
    <n v="0"/>
    <n v="0"/>
    <n v="0"/>
    <n v="0"/>
    <n v="1.9937724079087801E-3"/>
  </r>
  <r>
    <x v="0"/>
    <x v="9"/>
    <n v="2030"/>
    <s v="Bornholm"/>
    <x v="2"/>
    <x v="0"/>
    <x v="0"/>
    <x v="0"/>
    <n v="0"/>
    <n v="0"/>
    <s v="C1.0_E0.0"/>
    <n v="245.858007765178"/>
    <n v="61.4645019412945"/>
    <n v="5.0242840641615798"/>
    <n v="1.8439350582388301"/>
    <n v="0"/>
    <n v="0"/>
    <n v="0"/>
    <n v="0"/>
    <n v="6.8682191224004203"/>
    <n v="1061.7286431503001"/>
    <n v="0"/>
    <n v="0"/>
    <n v="0"/>
    <n v="0"/>
    <n v="0"/>
    <n v="6.4689025455896302E-3"/>
    <n v="0.54768075192899701"/>
  </r>
  <r>
    <x v="0"/>
    <x v="10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1"/>
    <n v="2030"/>
    <s v="Bornholm"/>
    <x v="2"/>
    <x v="0"/>
    <x v="0"/>
    <x v="0"/>
    <n v="0"/>
    <n v="0"/>
    <s v="C1.0_E0.0"/>
    <n v="1113.7365466259801"/>
    <n v="2557.8250508025199"/>
    <n v="227.20503431645699"/>
    <n v="41.871713851093098"/>
    <n v="11.460410491901399"/>
    <n v="0"/>
    <n v="0"/>
    <n v="0"/>
    <n v="280.53715865945202"/>
    <n v="4070.4230750985098"/>
    <n v="0"/>
    <n v="0"/>
    <n v="0"/>
    <n v="0"/>
    <n v="0"/>
    <n v="6.8920884508464203E-2"/>
    <n v="0.46350602409637298"/>
  </r>
  <r>
    <x v="0"/>
    <x v="12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3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5"/>
    <n v="2030"/>
    <s v="Bornholm"/>
    <x v="2"/>
    <x v="0"/>
    <x v="0"/>
    <x v="0"/>
    <n v="0"/>
    <n v="0"/>
    <s v="C1.0_E0.0"/>
    <n v="447.34111107398002"/>
    <n v="0"/>
    <n v="0"/>
    <n v="0"/>
    <n v="0"/>
    <n v="0"/>
    <n v="0"/>
    <n v="0"/>
    <n v="0"/>
    <n v="41.485602668865504"/>
    <n v="0"/>
    <n v="0"/>
    <n v="0"/>
    <n v="0"/>
    <n v="0"/>
    <n v="0"/>
    <n v="1.1761342408707401E-2"/>
  </r>
  <r>
    <x v="0"/>
    <x v="16"/>
    <n v="2030"/>
    <s v="Bornholm"/>
    <x v="2"/>
    <x v="0"/>
    <x v="0"/>
    <x v="0"/>
    <n v="0"/>
    <n v="0"/>
    <s v="C1.0_E0.0"/>
    <n v="103.70875108875499"/>
    <n v="0"/>
    <n v="0"/>
    <n v="0"/>
    <n v="2.68885891554961E-2"/>
    <n v="0"/>
    <n v="0"/>
    <n v="0"/>
    <n v="2.68885891554961E-2"/>
    <n v="14.325132659870899"/>
    <n v="0"/>
    <n v="0.71625663299354303"/>
    <n v="0"/>
    <n v="0"/>
    <n v="0"/>
    <n v="1.8770219999999899E-3"/>
    <n v="1.7517880140862498E-2"/>
  </r>
  <r>
    <x v="0"/>
    <x v="17"/>
    <n v="2030"/>
    <s v="Bornholm"/>
    <x v="2"/>
    <x v="0"/>
    <x v="0"/>
    <x v="0"/>
    <n v="0"/>
    <n v="0"/>
    <s v="C1.0_E0.0"/>
    <n v="171.56889698673999"/>
    <n v="0"/>
    <n v="0"/>
    <n v="0"/>
    <n v="0"/>
    <n v="0"/>
    <n v="0"/>
    <n v="0"/>
    <n v="0"/>
    <n v="14.3251326598708"/>
    <n v="0"/>
    <n v="0.71625663299354403"/>
    <n v="0"/>
    <n v="0"/>
    <n v="0"/>
    <n v="0"/>
    <n v="1.0589084053339699E-2"/>
  </r>
  <r>
    <x v="0"/>
    <x v="18"/>
    <n v="2030"/>
    <s v="Bornholm"/>
    <x v="2"/>
    <x v="0"/>
    <x v="0"/>
    <x v="0"/>
    <n v="0"/>
    <n v="0"/>
    <s v="C1.0_E0.0"/>
    <n v="171.56889698673999"/>
    <n v="30.882401457613199"/>
    <n v="3.1454408022211902"/>
    <n v="0.46323602186419799"/>
    <n v="0"/>
    <n v="0"/>
    <n v="0"/>
    <n v="0"/>
    <n v="3.6086768240853901"/>
    <n v="654.60480370480104"/>
    <n v="0"/>
    <n v="0"/>
    <n v="0"/>
    <n v="0"/>
    <n v="0"/>
    <n v="5.5127564045691704E-3"/>
    <n v="0.48388140289743897"/>
  </r>
  <r>
    <x v="0"/>
    <x v="0"/>
    <n v="2030"/>
    <s v="Bornholm"/>
    <x v="3"/>
    <x v="0"/>
    <x v="0"/>
    <x v="0"/>
    <n v="0"/>
    <n v="0"/>
    <s v="C1.0_E0.0"/>
    <n v="84.841699480269796"/>
    <n v="565.22897660947399"/>
    <n v="50.020263416767598"/>
    <n v="22.6091590643789"/>
    <n v="0"/>
    <n v="0"/>
    <n v="0"/>
    <n v="0"/>
    <n v="72.629422481146605"/>
    <n v="425.80645161289902"/>
    <n v="0"/>
    <n v="191.61290322580001"/>
    <n v="1.08030687315644"/>
    <n v="58.081014685830198"/>
    <n v="209.09165286898801"/>
    <n v="0.170569098251179"/>
    <n v="0.63650406315589603"/>
  </r>
  <r>
    <x v="0"/>
    <x v="1"/>
    <n v="2030"/>
    <s v="Bornholm"/>
    <x v="3"/>
    <x v="0"/>
    <x v="0"/>
    <x v="0"/>
    <n v="0"/>
    <n v="0"/>
    <s v="C1.0_E0.0"/>
    <n v="195.31699761637501"/>
    <n v="23.6320207433177"/>
    <n v="2.76091822936039"/>
    <n v="0.70896062229953205"/>
    <n v="0"/>
    <n v="0"/>
    <n v="0"/>
    <n v="5.6056750241931998E-2"/>
    <n v="3.52593560190186"/>
    <n v="862.41154218357099"/>
    <n v="0"/>
    <n v="2.1560288554588598"/>
    <n v="0"/>
    <n v="0"/>
    <n v="0"/>
    <n v="4.0884605892152299E-3"/>
    <n v="0.55998039543489997"/>
  </r>
  <r>
    <x v="0"/>
    <x v="2"/>
    <n v="2030"/>
    <s v="Bornholm"/>
    <x v="3"/>
    <x v="0"/>
    <x v="0"/>
    <x v="0"/>
    <n v="0"/>
    <n v="0"/>
    <s v="C1.0_E0.0"/>
    <n v="17.361510899233298"/>
    <n v="691.68259422545805"/>
    <n v="61.210849046500698"/>
    <n v="69.168259422545802"/>
    <n v="0"/>
    <n v="0"/>
    <n v="0"/>
    <n v="0"/>
    <n v="130.379108469046"/>
    <n v="76.658803749648001"/>
    <n v="0"/>
    <n v="3817.6084267328201"/>
    <n v="0"/>
    <n v="0"/>
    <n v="0"/>
    <n v="1.70077149775044"/>
    <n v="0.55998039543489997"/>
  </r>
  <r>
    <x v="0"/>
    <x v="3"/>
    <n v="2030"/>
    <s v="Bornholm"/>
    <x v="3"/>
    <x v="0"/>
    <x v="0"/>
    <x v="0"/>
    <n v="0"/>
    <n v="0"/>
    <s v="C1.0_E0.0"/>
    <n v="15.2715059064485"/>
    <n v="0"/>
    <n v="0"/>
    <n v="0"/>
    <n v="0"/>
    <n v="0"/>
    <n v="0"/>
    <n v="0"/>
    <n v="0"/>
    <n v="76.645161290311293"/>
    <n v="0"/>
    <n v="0"/>
    <n v="0"/>
    <n v="0"/>
    <n v="0"/>
    <n v="0"/>
    <n v="0.63650406315589603"/>
  </r>
  <r>
    <x v="0"/>
    <x v="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5"/>
    <n v="2030"/>
    <s v="Bornholm"/>
    <x v="3"/>
    <x v="0"/>
    <x v="0"/>
    <x v="0"/>
    <n v="0"/>
    <n v="0"/>
    <s v="C1.0_E0.0"/>
    <n v="98.543935864048706"/>
    <n v="0"/>
    <n v="0"/>
    <n v="0"/>
    <n v="0"/>
    <n v="0"/>
    <n v="0"/>
    <n v="0"/>
    <n v="0"/>
    <n v="435.11537008300797"/>
    <n v="0"/>
    <n v="0"/>
    <n v="0"/>
    <n v="0"/>
    <n v="0"/>
    <n v="0"/>
    <n v="0.55998039543489997"/>
  </r>
  <r>
    <x v="0"/>
    <x v="6"/>
    <n v="2030"/>
    <s v="Bornholm"/>
    <x v="3"/>
    <x v="0"/>
    <x v="0"/>
    <x v="0"/>
    <n v="0"/>
    <n v="0"/>
    <s v="C1.0_E0.0"/>
    <n v="134.72532457805099"/>
    <n v="0"/>
    <n v="0"/>
    <n v="0"/>
    <n v="0"/>
    <n v="0"/>
    <n v="0"/>
    <n v="0"/>
    <n v="0"/>
    <n v="594.872317097277"/>
    <n v="0"/>
    <n v="0"/>
    <n v="0"/>
    <n v="0"/>
    <n v="0"/>
    <n v="0"/>
    <n v="0.55998039543489997"/>
  </r>
  <r>
    <x v="0"/>
    <x v="7"/>
    <n v="2030"/>
    <s v="Bornholm"/>
    <x v="3"/>
    <x v="0"/>
    <x v="0"/>
    <x v="0"/>
    <n v="0"/>
    <n v="0"/>
    <s v="C1.0_E0.0"/>
    <n v="947.57295481994595"/>
    <n v="0"/>
    <n v="0"/>
    <n v="0"/>
    <n v="0"/>
    <n v="0"/>
    <n v="0"/>
    <n v="0"/>
    <n v="0"/>
    <n v="20.275399132918601"/>
    <n v="0"/>
    <n v="19.0588751849434"/>
    <n v="0"/>
    <n v="0"/>
    <n v="0"/>
    <n v="0"/>
    <n v="2.7136576552761701E-3"/>
  </r>
  <r>
    <x v="0"/>
    <x v="8"/>
    <n v="2030"/>
    <s v="Bornholm"/>
    <x v="3"/>
    <x v="0"/>
    <x v="0"/>
    <x v="0"/>
    <n v="0"/>
    <n v="0"/>
    <s v="C1.0_E0.0"/>
    <n v="962.844460726394"/>
    <n v="0"/>
    <n v="0"/>
    <n v="0"/>
    <n v="0"/>
    <n v="0"/>
    <n v="0"/>
    <n v="0"/>
    <n v="0"/>
    <n v="20.261756673583601"/>
    <n v="0"/>
    <n v="0"/>
    <n v="0"/>
    <n v="0"/>
    <n v="0"/>
    <n v="0"/>
    <n v="2.66881986536533E-3"/>
  </r>
  <r>
    <x v="0"/>
    <x v="9"/>
    <n v="2030"/>
    <s v="Bornholm"/>
    <x v="3"/>
    <x v="0"/>
    <x v="0"/>
    <x v="0"/>
    <n v="0"/>
    <n v="0"/>
    <s v="C1.0_E0.0"/>
    <n v="151.58288150016901"/>
    <n v="37.895720375042302"/>
    <n v="3.0977044955493298"/>
    <n v="1.13687161125127"/>
    <n v="0"/>
    <n v="0"/>
    <n v="0"/>
    <n v="0"/>
    <n v="4.2345761068006"/>
    <n v="666.067955203677"/>
    <n v="0"/>
    <n v="0"/>
    <n v="0"/>
    <n v="0"/>
    <n v="0"/>
    <n v="6.35757368856712E-3"/>
    <n v="0.55727130881630205"/>
  </r>
  <r>
    <x v="0"/>
    <x v="10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1"/>
    <n v="2030"/>
    <s v="Bornholm"/>
    <x v="3"/>
    <x v="0"/>
    <x v="0"/>
    <x v="0"/>
    <n v="0"/>
    <n v="0"/>
    <s v="C1.0_E0.0"/>
    <n v="977.78667610196896"/>
    <n v="2245.6004178467902"/>
    <n v="199.470921530716"/>
    <n v="36.760582233907897"/>
    <n v="11.468962090876399"/>
    <n v="0"/>
    <n v="0"/>
    <n v="0"/>
    <n v="247.70046585550099"/>
    <n v="4073.4603682062598"/>
    <n v="0"/>
    <n v="0"/>
    <n v="0"/>
    <n v="0"/>
    <n v="0"/>
    <n v="6.0808365238760202E-2"/>
    <n v="0.52834509828787701"/>
  </r>
  <r>
    <x v="0"/>
    <x v="12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3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5"/>
    <n v="2030"/>
    <s v="Bornholm"/>
    <x v="3"/>
    <x v="0"/>
    <x v="0"/>
    <x v="0"/>
    <n v="0"/>
    <n v="0"/>
    <s v="C1.0_E0.0"/>
    <n v="890.71857753074903"/>
    <n v="0"/>
    <n v="0"/>
    <n v="0"/>
    <n v="0"/>
    <n v="0"/>
    <n v="0"/>
    <n v="0"/>
    <n v="0"/>
    <n v="42.216611050744497"/>
    <n v="0"/>
    <n v="0"/>
    <n v="0"/>
    <n v="0"/>
    <n v="0"/>
    <n v="0"/>
    <n v="6.0109229241488201E-3"/>
  </r>
  <r>
    <x v="0"/>
    <x v="16"/>
    <n v="2030"/>
    <s v="Bornholm"/>
    <x v="3"/>
    <x v="0"/>
    <x v="0"/>
    <x v="0"/>
    <n v="0"/>
    <n v="0"/>
    <s v="C1.0_E0.0"/>
    <n v="53.497478058152097"/>
    <n v="0"/>
    <n v="0"/>
    <n v="0"/>
    <n v="1.51573872987101E-2"/>
    <n v="0"/>
    <n v="0"/>
    <n v="0"/>
    <n v="1.51573872987101E-2"/>
    <n v="8.0752315629279199"/>
    <n v="0"/>
    <n v="0.40376157814639602"/>
    <n v="0"/>
    <n v="0"/>
    <n v="0"/>
    <n v="1.8770219999999999E-3"/>
    <n v="1.9143439845016399E-2"/>
  </r>
  <r>
    <x v="0"/>
    <x v="17"/>
    <n v="2030"/>
    <s v="Bornholm"/>
    <x v="3"/>
    <x v="0"/>
    <x v="0"/>
    <x v="0"/>
    <n v="0"/>
    <n v="0"/>
    <s v="C1.0_E0.0"/>
    <n v="72.121986174380297"/>
    <n v="0"/>
    <n v="0"/>
    <n v="0"/>
    <n v="0"/>
    <n v="0"/>
    <n v="0"/>
    <n v="0"/>
    <n v="0"/>
    <n v="8.0752315629279305"/>
    <n v="0"/>
    <n v="0.40376157814639901"/>
    <n v="0"/>
    <n v="0"/>
    <n v="0"/>
    <n v="0"/>
    <n v="1.4199910559730499E-2"/>
  </r>
  <r>
    <x v="0"/>
    <x v="18"/>
    <n v="2030"/>
    <s v="Bornholm"/>
    <x v="3"/>
    <x v="0"/>
    <x v="0"/>
    <x v="0"/>
    <n v="0"/>
    <n v="0"/>
    <s v="C1.0_E0.0"/>
    <n v="72.121986174380297"/>
    <n v="12.9819575113884"/>
    <n v="1.3222410473832"/>
    <n v="0.194729362670826"/>
    <n v="0"/>
    <n v="0"/>
    <n v="0"/>
    <n v="0"/>
    <n v="1.51697041005403"/>
    <n v="288.754681116759"/>
    <n v="0"/>
    <n v="0"/>
    <n v="0"/>
    <n v="0"/>
    <n v="0"/>
    <n v="5.2534920098512104E-3"/>
    <n v="0.50776137050797199"/>
  </r>
  <r>
    <x v="0"/>
    <x v="0"/>
    <n v="2030"/>
    <s v="Bornholm"/>
    <x v="4"/>
    <x v="0"/>
    <x v="0"/>
    <x v="0"/>
    <n v="0"/>
    <n v="0"/>
    <s v="C1.0_E0.0"/>
    <n v="88.022694697406195"/>
    <n v="586.42127570527202"/>
    <n v="51.895688115510801"/>
    <n v="23.456851028210799"/>
    <n v="0"/>
    <n v="0"/>
    <n v="0"/>
    <n v="0"/>
    <n v="75.3525391437216"/>
    <n v="425.80645161290403"/>
    <n v="0"/>
    <n v="191.612903225812"/>
    <n v="1.0966218470429701"/>
    <n v="58.958163819514503"/>
    <n v="212.24938975025199"/>
    <n v="0.176964296473891"/>
    <n v="0.61350185460571705"/>
  </r>
  <r>
    <x v="0"/>
    <x v="1"/>
    <n v="2030"/>
    <s v="Bornholm"/>
    <x v="4"/>
    <x v="0"/>
    <x v="0"/>
    <x v="0"/>
    <n v="0"/>
    <n v="0"/>
    <s v="C1.0_E0.0"/>
    <n v="195.620209708255"/>
    <n v="23.6687073324645"/>
    <n v="2.7652043068756602"/>
    <n v="0.71006121997393501"/>
    <n v="0"/>
    <n v="0"/>
    <n v="0"/>
    <n v="5.60562870067675E-2"/>
    <n v="3.53132181385637"/>
    <n v="862.40441548869399"/>
    <n v="0"/>
    <n v="2.1560110387217701"/>
    <n v="0"/>
    <n v="0"/>
    <n v="0"/>
    <n v="4.0947399508098397E-3"/>
    <n v="0.55910780329951104"/>
  </r>
  <r>
    <x v="0"/>
    <x v="2"/>
    <n v="2030"/>
    <s v="Bornholm"/>
    <x v="4"/>
    <x v="0"/>
    <x v="0"/>
    <x v="0"/>
    <n v="0"/>
    <n v="0"/>
    <s v="C1.0_E0.0"/>
    <n v="17.388463085178198"/>
    <n v="692.75636931350198"/>
    <n v="61.3058733905754"/>
    <n v="69.275636931350206"/>
    <n v="0"/>
    <n v="0"/>
    <n v="0"/>
    <n v="0"/>
    <n v="130.58151032192501"/>
    <n v="76.658170265660004"/>
    <n v="0"/>
    <n v="3817.57687922993"/>
    <n v="0"/>
    <n v="0"/>
    <n v="0"/>
    <n v="1.7034258692764599"/>
    <n v="0.55910780329951104"/>
  </r>
  <r>
    <x v="0"/>
    <x v="3"/>
    <n v="2030"/>
    <s v="Bornholm"/>
    <x v="4"/>
    <x v="0"/>
    <x v="0"/>
    <x v="0"/>
    <n v="0"/>
    <n v="0"/>
    <s v="C1.0_E0.0"/>
    <n v="15.844085045533101"/>
    <n v="0"/>
    <n v="0"/>
    <n v="0"/>
    <n v="0"/>
    <n v="0"/>
    <n v="0"/>
    <n v="0"/>
    <n v="0"/>
    <n v="76.645161290323998"/>
    <n v="0"/>
    <n v="0"/>
    <n v="0"/>
    <n v="0"/>
    <n v="0"/>
    <n v="0"/>
    <n v="0.61350185460571705"/>
  </r>
  <r>
    <x v="0"/>
    <x v="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5"/>
    <n v="2030"/>
    <s v="Bornholm"/>
    <x v="4"/>
    <x v="0"/>
    <x v="0"/>
    <x v="0"/>
    <n v="0"/>
    <n v="0"/>
    <s v="C1.0_E0.0"/>
    <n v="98.696916471471795"/>
    <n v="0"/>
    <n v="0"/>
    <n v="0"/>
    <n v="0"/>
    <n v="0"/>
    <n v="0"/>
    <n v="0"/>
    <n v="0"/>
    <n v="435.11177442791899"/>
    <n v="0"/>
    <n v="0"/>
    <n v="0"/>
    <n v="0"/>
    <n v="0"/>
    <n v="0"/>
    <n v="0.55910780329951104"/>
  </r>
  <r>
    <x v="0"/>
    <x v="6"/>
    <n v="2030"/>
    <s v="Bornholm"/>
    <x v="4"/>
    <x v="0"/>
    <x v="0"/>
    <x v="0"/>
    <n v="0"/>
    <n v="0"/>
    <s v="C1.0_E0.0"/>
    <n v="134.93447354098299"/>
    <n v="0"/>
    <n v="0"/>
    <n v="0"/>
    <n v="0"/>
    <n v="0"/>
    <n v="0"/>
    <n v="0"/>
    <n v="0"/>
    <n v="594.86740126153802"/>
    <n v="0"/>
    <n v="0"/>
    <n v="0"/>
    <n v="0"/>
    <n v="0"/>
    <n v="0"/>
    <n v="0.55910780329951104"/>
  </r>
  <r>
    <x v="0"/>
    <x v="7"/>
    <n v="2030"/>
    <s v="Bornholm"/>
    <x v="4"/>
    <x v="0"/>
    <x v="0"/>
    <x v="0"/>
    <n v="0"/>
    <n v="0"/>
    <s v="C1.0_E0.0"/>
    <n v="445.55167788966298"/>
    <n v="0"/>
    <n v="0"/>
    <n v="0"/>
    <n v="0"/>
    <n v="0"/>
    <n v="0"/>
    <n v="0"/>
    <n v="0"/>
    <n v="18.225236800587599"/>
    <n v="0"/>
    <n v="17.131722592552201"/>
    <n v="0"/>
    <n v="0"/>
    <n v="0"/>
    <n v="0"/>
    <n v="5.1876826242675802E-3"/>
  </r>
  <r>
    <x v="0"/>
    <x v="8"/>
    <n v="2030"/>
    <s v="Bornholm"/>
    <x v="4"/>
    <x v="0"/>
    <x v="0"/>
    <x v="0"/>
    <n v="0"/>
    <n v="0"/>
    <s v="C1.0_E0.0"/>
    <n v="451.89245789569799"/>
    <n v="0"/>
    <n v="0"/>
    <n v="0"/>
    <n v="0"/>
    <n v="0"/>
    <n v="0"/>
    <n v="0"/>
    <n v="0"/>
    <n v="18.2122278252467"/>
    <n v="0"/>
    <n v="0"/>
    <n v="0"/>
    <n v="0"/>
    <n v="0"/>
    <n v="0"/>
    <n v="5.1112401167597004E-3"/>
  </r>
  <r>
    <x v="0"/>
    <x v="9"/>
    <n v="2030"/>
    <s v="Bornholm"/>
    <x v="4"/>
    <x v="0"/>
    <x v="0"/>
    <x v="0"/>
    <n v="0"/>
    <n v="0"/>
    <s v="C1.0_E0.0"/>
    <n v="144.54417045528501"/>
    <n v="36.136042613821303"/>
    <n v="2.9538634059036899"/>
    <n v="1.0840812784146301"/>
    <n v="0"/>
    <n v="0"/>
    <n v="0"/>
    <n v="0"/>
    <n v="4.0379446843183304"/>
    <n v="578.46201210685501"/>
    <n v="0"/>
    <n v="0"/>
    <n v="0"/>
    <n v="0"/>
    <n v="0"/>
    <n v="6.9804837652371696E-3"/>
    <n v="0.50754267604883097"/>
  </r>
  <r>
    <x v="0"/>
    <x v="10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1"/>
    <n v="2030"/>
    <s v="Bornholm"/>
    <x v="4"/>
    <x v="0"/>
    <x v="0"/>
    <x v="0"/>
    <n v="0"/>
    <n v="0"/>
    <s v="C1.0_E0.0"/>
    <n v="981.01122236987601"/>
    <n v="2253.0059620452898"/>
    <n v="200.128737014705"/>
    <n v="36.881811333409402"/>
    <n v="11.417447246542601"/>
    <n v="0"/>
    <n v="0"/>
    <n v="0"/>
    <n v="248.42799559465701"/>
    <n v="4055.16371022564"/>
    <n v="0"/>
    <n v="0"/>
    <n v="0"/>
    <n v="0"/>
    <n v="0"/>
    <n v="6.1262137202553101E-2"/>
    <n v="0.52424309448318496"/>
  </r>
  <r>
    <x v="0"/>
    <x v="12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3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5"/>
    <n v="2030"/>
    <s v="Bornholm"/>
    <x v="4"/>
    <x v="0"/>
    <x v="0"/>
    <x v="0"/>
    <n v="0"/>
    <n v="0"/>
    <s v="C1.0_E0.0"/>
    <n v="343.94361017327998"/>
    <n v="0"/>
    <n v="0"/>
    <n v="0"/>
    <n v="0"/>
    <n v="0"/>
    <n v="0"/>
    <n v="0"/>
    <n v="0"/>
    <n v="25.0487537431632"/>
    <n v="0"/>
    <n v="0"/>
    <n v="0"/>
    <n v="0"/>
    <n v="0"/>
    <n v="0"/>
    <n v="9.2362819108020994E-3"/>
  </r>
  <r>
    <x v="0"/>
    <x v="16"/>
    <n v="2030"/>
    <s v="Bornholm"/>
    <x v="4"/>
    <x v="0"/>
    <x v="0"/>
    <x v="0"/>
    <n v="0"/>
    <n v="0"/>
    <s v="C1.0_E0.0"/>
    <n v="63.051980497992702"/>
    <n v="0"/>
    <n v="0"/>
    <n v="0"/>
    <n v="3.0735116455527099E-2"/>
    <n v="0"/>
    <n v="0"/>
    <n v="0"/>
    <n v="3.0735116455527099E-2"/>
    <n v="16.374403952392299"/>
    <n v="0"/>
    <n v="0.81872019761960602"/>
    <n v="0"/>
    <n v="0"/>
    <n v="0"/>
    <n v="1.8770219999999799E-3"/>
    <n v="3.2935561349435101E-2"/>
  </r>
  <r>
    <x v="0"/>
    <x v="17"/>
    <n v="2030"/>
    <s v="Bornholm"/>
    <x v="4"/>
    <x v="0"/>
    <x v="0"/>
    <x v="0"/>
    <n v="0"/>
    <n v="0"/>
    <s v="C1.0_E0.0"/>
    <n v="237.080612144556"/>
    <n v="0"/>
    <n v="0"/>
    <n v="0"/>
    <n v="0"/>
    <n v="0"/>
    <n v="0"/>
    <n v="0"/>
    <n v="0"/>
    <n v="16.374403952392299"/>
    <n v="0"/>
    <n v="0.818720197619622"/>
    <n v="0"/>
    <n v="0"/>
    <n v="0"/>
    <n v="0"/>
    <n v="8.7592669561220894E-3"/>
  </r>
  <r>
    <x v="0"/>
    <x v="18"/>
    <n v="2030"/>
    <s v="Bornholm"/>
    <x v="4"/>
    <x v="0"/>
    <x v="0"/>
    <x v="0"/>
    <n v="0"/>
    <n v="0"/>
    <s v="C1.0_E0.0"/>
    <n v="237.080612144556"/>
    <n v="42.6745101860201"/>
    <n v="4.3464931228921904"/>
    <n v="0.64011765279030197"/>
    <n v="0"/>
    <n v="0"/>
    <n v="0"/>
    <n v="0"/>
    <n v="4.9866107756824896"/>
    <n v="877.09333714138404"/>
    <n v="0"/>
    <n v="0"/>
    <n v="0"/>
    <n v="0"/>
    <n v="0"/>
    <n v="5.6853821190055E-3"/>
    <n v="0.46918927295273999"/>
  </r>
  <r>
    <x v="0"/>
    <x v="0"/>
    <n v="2030"/>
    <s v="Bornholm"/>
    <x v="5"/>
    <x v="0"/>
    <x v="0"/>
    <x v="0"/>
    <n v="0"/>
    <n v="0"/>
    <s v="C1.0_E0.0"/>
    <n v="75.460038673426297"/>
    <n v="502.726851248554"/>
    <n v="44.489101880402998"/>
    <n v="20.109074049942102"/>
    <n v="0"/>
    <n v="0"/>
    <n v="0"/>
    <n v="0"/>
    <n v="64.598175930345107"/>
    <n v="425.806451612898"/>
    <n v="0"/>
    <n v="191.612903225813"/>
    <n v="1.1701761918042"/>
    <n v="62.912698484097199"/>
    <n v="226.48571454275"/>
    <n v="0.151707837412176"/>
    <n v="0.71563820259837196"/>
  </r>
  <r>
    <x v="0"/>
    <x v="1"/>
    <n v="2030"/>
    <s v="Bornholm"/>
    <x v="5"/>
    <x v="0"/>
    <x v="0"/>
    <x v="0"/>
    <n v="0"/>
    <n v="0"/>
    <s v="C1.0_E0.0"/>
    <n v="215.12485472608799"/>
    <n v="26.028635967850299"/>
    <n v="3.0409136954292801"/>
    <n v="0.78085907903551099"/>
    <n v="0"/>
    <n v="0"/>
    <n v="0"/>
    <n v="5.6079287536539402E-2"/>
    <n v="3.8778520620013301"/>
    <n v="862.75826979289695"/>
    <n v="0"/>
    <n v="2.15689567448227"/>
    <n v="0"/>
    <n v="0"/>
    <n v="0"/>
    <n v="4.4947144498912704E-3"/>
    <n v="0.50862399309302297"/>
  </r>
  <r>
    <x v="0"/>
    <x v="2"/>
    <n v="2030"/>
    <s v="Bornholm"/>
    <x v="5"/>
    <x v="0"/>
    <x v="0"/>
    <x v="0"/>
    <n v="0"/>
    <n v="0"/>
    <s v="C1.0_E0.0"/>
    <n v="19.1222093089856"/>
    <n v="761.82881886998803"/>
    <n v="67.418479546016599"/>
    <n v="76.1828818869988"/>
    <n v="0"/>
    <n v="0"/>
    <n v="0"/>
    <n v="0"/>
    <n v="143.601361433015"/>
    <n v="76.689623981594707"/>
    <n v="0"/>
    <n v="3819.1432742829802"/>
    <n v="0"/>
    <n v="0"/>
    <n v="0"/>
    <n v="1.8725005284610501"/>
    <n v="0.50862399309302297"/>
  </r>
  <r>
    <x v="0"/>
    <x v="3"/>
    <n v="2030"/>
    <s v="Bornholm"/>
    <x v="5"/>
    <x v="0"/>
    <x v="0"/>
    <x v="0"/>
    <n v="0"/>
    <n v="0"/>
    <s v="C1.0_E0.0"/>
    <n v="13.582806961216701"/>
    <n v="0"/>
    <n v="0"/>
    <n v="0"/>
    <n v="0"/>
    <n v="0"/>
    <n v="0"/>
    <n v="0"/>
    <n v="0"/>
    <n v="76.645161290334002"/>
    <n v="0"/>
    <n v="0"/>
    <n v="0"/>
    <n v="0"/>
    <n v="0"/>
    <n v="0"/>
    <n v="0.71563820259837196"/>
  </r>
  <r>
    <x v="0"/>
    <x v="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5"/>
    <n v="2030"/>
    <s v="Bornholm"/>
    <x v="5"/>
    <x v="0"/>
    <x v="0"/>
    <x v="0"/>
    <n v="0"/>
    <n v="0"/>
    <s v="C1.0_E0.0"/>
    <n v="108.537660037802"/>
    <n v="0"/>
    <n v="0"/>
    <n v="0"/>
    <n v="0"/>
    <n v="0"/>
    <n v="0"/>
    <n v="0"/>
    <n v="0"/>
    <n v="435.29030571953399"/>
    <n v="0"/>
    <n v="0"/>
    <n v="0"/>
    <n v="0"/>
    <n v="0"/>
    <n v="0"/>
    <n v="0.50862399309302297"/>
  </r>
  <r>
    <x v="0"/>
    <x v="6"/>
    <n v="2030"/>
    <s v="Bornholm"/>
    <x v="5"/>
    <x v="0"/>
    <x v="0"/>
    <x v="0"/>
    <n v="0"/>
    <n v="0"/>
    <s v="C1.0_E0.0"/>
    <n v="148.38834423772801"/>
    <n v="0"/>
    <n v="0"/>
    <n v="0"/>
    <n v="0"/>
    <n v="0"/>
    <n v="0"/>
    <n v="0"/>
    <n v="0"/>
    <n v="595.111482097156"/>
    <n v="0"/>
    <n v="0"/>
    <n v="0"/>
    <n v="0"/>
    <n v="0"/>
    <n v="0"/>
    <n v="0.50862399309302297"/>
  </r>
  <r>
    <x v="0"/>
    <x v="7"/>
    <n v="2030"/>
    <s v="Bornholm"/>
    <x v="5"/>
    <x v="0"/>
    <x v="0"/>
    <x v="0"/>
    <n v="0"/>
    <n v="0"/>
    <s v="C1.0_E0.0"/>
    <n v="1044.9282044679501"/>
    <n v="0"/>
    <n v="0"/>
    <n v="0"/>
    <n v="0"/>
    <n v="0"/>
    <n v="0"/>
    <n v="0"/>
    <n v="0"/>
    <n v="33.360734229757398"/>
    <n v="0"/>
    <n v="31.3590901759706"/>
    <n v="0"/>
    <n v="0"/>
    <n v="0"/>
    <n v="0"/>
    <n v="4.0489969627265096E-3"/>
  </r>
  <r>
    <x v="0"/>
    <x v="8"/>
    <n v="2030"/>
    <s v="Bornholm"/>
    <x v="5"/>
    <x v="0"/>
    <x v="0"/>
    <x v="0"/>
    <n v="0"/>
    <n v="0"/>
    <s v="C1.0_E0.0"/>
    <n v="1058.5110114291699"/>
    <n v="0"/>
    <n v="0"/>
    <n v="0"/>
    <n v="0"/>
    <n v="0"/>
    <n v="0"/>
    <n v="0"/>
    <n v="0"/>
    <n v="33.316271538494703"/>
    <n v="0"/>
    <n v="0"/>
    <n v="0"/>
    <n v="0"/>
    <n v="0"/>
    <n v="0"/>
    <n v="3.9917130620324903E-3"/>
  </r>
  <r>
    <x v="0"/>
    <x v="9"/>
    <n v="2030"/>
    <s v="Bornholm"/>
    <x v="5"/>
    <x v="0"/>
    <x v="0"/>
    <x v="0"/>
    <n v="0"/>
    <n v="0"/>
    <s v="C1.0_E0.0"/>
    <n v="494.029902908824"/>
    <n v="123.507475727206"/>
    <n v="10.0958540702681"/>
    <n v="3.7052242718161801"/>
    <n v="0"/>
    <n v="0"/>
    <n v="0"/>
    <n v="0"/>
    <n v="13.801078342084301"/>
    <n v="2186.54771923916"/>
    <n v="0"/>
    <n v="0"/>
    <n v="0"/>
    <n v="0"/>
    <n v="0"/>
    <n v="6.3118120956841403E-3"/>
    <n v="0.56131161013909603"/>
  </r>
  <r>
    <x v="0"/>
    <x v="10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1"/>
    <n v="2030"/>
    <s v="Bornholm"/>
    <x v="5"/>
    <x v="0"/>
    <x v="0"/>
    <x v="0"/>
    <n v="0"/>
    <n v="0"/>
    <s v="C1.0_E0.0"/>
    <n v="1069.6731890557"/>
    <n v="2456.62844361822"/>
    <n v="218.21599943277499"/>
    <n v="40.215120732109703"/>
    <n v="11.492575240039899"/>
    <n v="0"/>
    <n v="0"/>
    <n v="0"/>
    <n v="269.92369540492501"/>
    <n v="4081.8471103128099"/>
    <n v="0"/>
    <n v="0"/>
    <n v="0"/>
    <n v="0"/>
    <n v="0"/>
    <n v="6.6127830883954894E-2"/>
    <n v="0.48395382371590301"/>
  </r>
  <r>
    <x v="0"/>
    <x v="12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3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5"/>
    <n v="2030"/>
    <s v="Bornholm"/>
    <x v="5"/>
    <x v="0"/>
    <x v="0"/>
    <x v="0"/>
    <n v="0"/>
    <n v="0"/>
    <s v="C1.0_E0.0"/>
    <n v="982.23251219988197"/>
    <n v="0"/>
    <n v="0"/>
    <n v="0"/>
    <n v="0"/>
    <n v="0"/>
    <n v="0"/>
    <n v="0"/>
    <n v="0"/>
    <n v="36.5967201301047"/>
    <n v="0"/>
    <n v="0"/>
    <n v="0"/>
    <n v="0"/>
    <n v="0"/>
    <n v="0"/>
    <n v="4.72526491747803E-3"/>
  </r>
  <r>
    <x v="0"/>
    <x v="16"/>
    <n v="2030"/>
    <s v="Bornholm"/>
    <x v="5"/>
    <x v="0"/>
    <x v="0"/>
    <x v="0"/>
    <n v="0"/>
    <n v="0"/>
    <s v="C1.0_E0.0"/>
    <n v="116.388580528137"/>
    <n v="0"/>
    <n v="0"/>
    <n v="0"/>
    <n v="1.8361532687857601E-2"/>
    <n v="0"/>
    <n v="0"/>
    <n v="0"/>
    <n v="1.8361532687857601E-2"/>
    <n v="9.7822682354589894"/>
    <n v="0"/>
    <n v="0.48911341177294998"/>
    <n v="0"/>
    <n v="0"/>
    <n v="0"/>
    <n v="1.8770219999999899E-3"/>
    <n v="1.0659270857968001E-2"/>
  </r>
  <r>
    <x v="0"/>
    <x v="17"/>
    <n v="2030"/>
    <s v="Bornholm"/>
    <x v="5"/>
    <x v="0"/>
    <x v="0"/>
    <x v="0"/>
    <n v="0"/>
    <n v="0"/>
    <s v="C1.0_E0.0"/>
    <n v="116.388580528137"/>
    <n v="0"/>
    <n v="0"/>
    <n v="0"/>
    <n v="0"/>
    <n v="0"/>
    <n v="0"/>
    <n v="0"/>
    <n v="0"/>
    <n v="9.7822682354589396"/>
    <n v="0"/>
    <n v="0.48911341177294998"/>
    <n v="0"/>
    <n v="0"/>
    <n v="0"/>
    <n v="0"/>
    <n v="1.0659270857968001E-2"/>
  </r>
  <r>
    <x v="0"/>
    <x v="18"/>
    <n v="2030"/>
    <s v="Bornholm"/>
    <x v="5"/>
    <x v="0"/>
    <x v="0"/>
    <x v="0"/>
    <n v="0"/>
    <n v="0"/>
    <s v="C1.0_E0.0"/>
    <n v="116.388580528137"/>
    <n v="20.949944495064599"/>
    <n v="2.1337981215447401"/>
    <n v="0.31424916742596998"/>
    <n v="0"/>
    <n v="0"/>
    <n v="0"/>
    <n v="0"/>
    <n v="2.4480472889707099"/>
    <n v="473.09243405501701"/>
    <n v="0"/>
    <n v="0"/>
    <n v="0"/>
    <n v="0"/>
    <n v="0"/>
    <n v="5.1745644460803597E-3"/>
    <n v="0.51550624804669198"/>
  </r>
  <r>
    <x v="1"/>
    <x v="0"/>
    <n v="2030"/>
    <s v="Bornholm"/>
    <x v="0"/>
    <x v="0"/>
    <x v="0"/>
    <x v="0"/>
    <n v="0"/>
    <n v="0"/>
    <s v="C1.0_E0.0"/>
    <n v="85.548933436373403"/>
    <n v="569.94068238246905"/>
    <n v="50.437228529422001"/>
    <n v="22.7976272952987"/>
    <n v="0"/>
    <n v="0"/>
    <n v="0"/>
    <n v="0"/>
    <n v="73.234855824720796"/>
    <n v="425.80645161291199"/>
    <n v="0"/>
    <n v="191.612903225785"/>
    <n v="1.0235294198740099"/>
    <n v="55.028463434086902"/>
    <n v="198.10246836271301"/>
    <n v="0.17199094928532499"/>
    <n v="0.63124207719563596"/>
  </r>
  <r>
    <x v="1"/>
    <x v="1"/>
    <n v="2030"/>
    <s v="Bornholm"/>
    <x v="0"/>
    <x v="0"/>
    <x v="0"/>
    <x v="0"/>
    <n v="0"/>
    <n v="0"/>
    <s v="C1.0_E0.0"/>
    <n v="186.42419576188999"/>
    <n v="22.556052545689699"/>
    <n v="2.6352133544658898"/>
    <n v="0.67668157637069204"/>
    <n v="0"/>
    <n v="0"/>
    <n v="0"/>
    <n v="5.6054329048400901E-2"/>
    <n v="3.3679492598849801"/>
    <n v="862.37429305237094"/>
    <n v="0"/>
    <n v="2.1559357326308302"/>
    <n v="0"/>
    <n v="0"/>
    <n v="0"/>
    <n v="3.9054379136976998E-3"/>
    <n v="0.58666722451870001"/>
  </r>
  <r>
    <x v="1"/>
    <x v="2"/>
    <n v="2030"/>
    <s v="Bornholm"/>
    <x v="0"/>
    <x v="0"/>
    <x v="0"/>
    <x v="0"/>
    <n v="0"/>
    <n v="0"/>
    <s v="C1.0_E0.0"/>
    <n v="16.571039623279098"/>
    <n v="660.19021859144198"/>
    <n v="58.423913149685099"/>
    <n v="66.019021859144203"/>
    <n v="0"/>
    <n v="0"/>
    <n v="0"/>
    <n v="0"/>
    <n v="124.442935008829"/>
    <n v="76.655492715764495"/>
    <n v="0"/>
    <n v="3817.4435372449502"/>
    <n v="0"/>
    <n v="0"/>
    <n v="0"/>
    <n v="1.6234053242637001"/>
    <n v="0.58666722451870001"/>
  </r>
  <r>
    <x v="1"/>
    <x v="3"/>
    <n v="2030"/>
    <s v="Bornholm"/>
    <x v="0"/>
    <x v="0"/>
    <x v="0"/>
    <x v="0"/>
    <n v="0"/>
    <n v="0"/>
    <s v="C1.0_E0.0"/>
    <n v="15.3988080185472"/>
    <n v="0"/>
    <n v="0"/>
    <n v="0"/>
    <n v="0"/>
    <n v="0"/>
    <n v="0"/>
    <n v="0"/>
    <n v="0"/>
    <n v="76.645161290325206"/>
    <n v="0"/>
    <n v="0"/>
    <n v="0"/>
    <n v="0"/>
    <n v="0"/>
    <n v="0"/>
    <n v="0.63124207719563596"/>
  </r>
  <r>
    <x v="1"/>
    <x v="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5"/>
    <n v="2030"/>
    <s v="Bornholm"/>
    <x v="0"/>
    <x v="0"/>
    <x v="0"/>
    <x v="0"/>
    <n v="0"/>
    <n v="0"/>
    <s v="C1.0_E0.0"/>
    <n v="94.057220901732506"/>
    <n v="0"/>
    <n v="0"/>
    <n v="0"/>
    <n v="0"/>
    <n v="0"/>
    <n v="0"/>
    <n v="0"/>
    <n v="0"/>
    <n v="435.09657665466602"/>
    <n v="0"/>
    <n v="0"/>
    <n v="0"/>
    <n v="0"/>
    <n v="0"/>
    <n v="0"/>
    <n v="0.58666722451870001"/>
  </r>
  <r>
    <x v="1"/>
    <x v="6"/>
    <n v="2030"/>
    <s v="Bornholm"/>
    <x v="0"/>
    <x v="0"/>
    <x v="0"/>
    <x v="0"/>
    <n v="0"/>
    <n v="0"/>
    <s v="C1.0_E0.0"/>
    <n v="128.59126747664601"/>
    <n v="0"/>
    <n v="0"/>
    <n v="0"/>
    <n v="0"/>
    <n v="0"/>
    <n v="0"/>
    <n v="0"/>
    <n v="0"/>
    <n v="594.84662347431004"/>
    <n v="0"/>
    <n v="0"/>
    <n v="0"/>
    <n v="0"/>
    <n v="0"/>
    <n v="0"/>
    <n v="0.58666722451870001"/>
  </r>
  <r>
    <x v="1"/>
    <x v="7"/>
    <n v="2030"/>
    <s v="Bornholm"/>
    <x v="0"/>
    <x v="0"/>
    <x v="0"/>
    <x v="0"/>
    <n v="0"/>
    <n v="0"/>
    <s v="C1.0_E0.0"/>
    <n v="880.35640593347898"/>
    <n v="0"/>
    <n v="0"/>
    <n v="0"/>
    <n v="0"/>
    <n v="0"/>
    <n v="0"/>
    <n v="0"/>
    <n v="0"/>
    <n v="6.47861494030853"/>
    <n v="0"/>
    <n v="6.0898980438900701"/>
    <n v="0"/>
    <n v="0"/>
    <n v="0"/>
    <n v="0"/>
    <n v="9.3330145267698898E-4"/>
  </r>
  <r>
    <x v="1"/>
    <x v="8"/>
    <n v="2030"/>
    <s v="Bornholm"/>
    <x v="0"/>
    <x v="0"/>
    <x v="0"/>
    <x v="0"/>
    <n v="0"/>
    <n v="0"/>
    <s v="C1.0_E0.0"/>
    <n v="895.755213952026"/>
    <n v="0"/>
    <n v="0"/>
    <n v="0"/>
    <n v="0"/>
    <n v="0"/>
    <n v="0"/>
    <n v="0"/>
    <n v="0"/>
    <n v="6.46828351486581"/>
    <n v="0"/>
    <n v="0"/>
    <n v="0"/>
    <n v="0"/>
    <n v="0"/>
    <n v="0"/>
    <n v="9.1579444533503203E-4"/>
  </r>
  <r>
    <x v="1"/>
    <x v="9"/>
    <n v="2030"/>
    <s v="Bornholm"/>
    <x v="0"/>
    <x v="0"/>
    <x v="0"/>
    <x v="0"/>
    <n v="0"/>
    <n v="0"/>
    <s v="C1.0_E0.0"/>
    <n v="114.793616030363"/>
    <n v="28.698404007590799"/>
    <n v="2.3458895682572298"/>
    <n v="0.86095212022772405"/>
    <n v="0"/>
    <n v="0"/>
    <n v="0"/>
    <n v="0"/>
    <n v="3.20684168848496"/>
    <n v="513.93793700527897"/>
    <n v="0"/>
    <n v="0"/>
    <n v="0"/>
    <n v="0"/>
    <n v="0"/>
    <n v="6.2397450306378504E-3"/>
    <n v="0.56779458021569895"/>
  </r>
  <r>
    <x v="1"/>
    <x v="10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1"/>
    <n v="2030"/>
    <s v="Bornholm"/>
    <x v="0"/>
    <x v="0"/>
    <x v="0"/>
    <x v="0"/>
    <n v="0"/>
    <n v="0"/>
    <s v="C1.0_E0.0"/>
    <n v="911.612675393514"/>
    <n v="2093.6241562823502"/>
    <n v="185.97126028015401"/>
    <n v="34.272723834683703"/>
    <n v="11.328864501263601"/>
    <n v="0"/>
    <n v="0"/>
    <n v="0"/>
    <n v="231.57284861610199"/>
    <n v="4023.7015518070102"/>
    <n v="0"/>
    <n v="0"/>
    <n v="0"/>
    <n v="0"/>
    <n v="0"/>
    <n v="5.7552193082537097E-2"/>
    <n v="0.559775269499029"/>
  </r>
  <r>
    <x v="1"/>
    <x v="12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3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5"/>
    <n v="2030"/>
    <s v="Bornholm"/>
    <x v="0"/>
    <x v="0"/>
    <x v="0"/>
    <x v="0"/>
    <n v="0"/>
    <n v="0"/>
    <s v="C1.0_E0.0"/>
    <n v="827.53502157747005"/>
    <n v="0"/>
    <n v="0"/>
    <n v="0"/>
    <n v="0"/>
    <n v="0"/>
    <n v="0"/>
    <n v="0"/>
    <n v="0"/>
    <n v="6.3992775593957001"/>
    <n v="0"/>
    <n v="0"/>
    <n v="0"/>
    <n v="0"/>
    <n v="0"/>
    <n v="0"/>
    <n v="9.8071511201395806E-4"/>
  </r>
  <r>
    <x v="1"/>
    <x v="16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7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8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0"/>
    <n v="2030"/>
    <s v="Bornholm"/>
    <x v="6"/>
    <x v="0"/>
    <x v="0"/>
    <x v="0"/>
    <n v="0"/>
    <n v="0"/>
    <s v="C1.0_E0.0"/>
    <n v="104.98044729223901"/>
    <n v="699.39653673246596"/>
    <n v="61.893498825881899"/>
    <n v="27.9758614692986"/>
    <n v="0"/>
    <n v="0"/>
    <n v="0"/>
    <n v="0"/>
    <n v="89.869360295180599"/>
    <n v="425.80645161290499"/>
    <n v="0"/>
    <n v="191.61290322579899"/>
    <n v="1.2183418641430701"/>
    <n v="65.502250760380306"/>
    <n v="235.80810273736901"/>
    <n v="0.211056830996256"/>
    <n v="0.51440137508575501"/>
  </r>
  <r>
    <x v="1"/>
    <x v="1"/>
    <n v="2030"/>
    <s v="Bornholm"/>
    <x v="6"/>
    <x v="0"/>
    <x v="0"/>
    <x v="0"/>
    <n v="0"/>
    <n v="0"/>
    <s v="C1.0_E0.0"/>
    <n v="219.16277013697399"/>
    <n v="26.517196113226099"/>
    <n v="3.0979919548874002"/>
    <n v="0.79551588339678403"/>
    <n v="0"/>
    <n v="0"/>
    <n v="0"/>
    <n v="5.6049825051907802E-2"/>
    <n v="3.9495576633360998"/>
    <n v="862.30500079856904"/>
    <n v="0"/>
    <n v="2.1557625019965601"/>
    <n v="0"/>
    <n v="0"/>
    <n v="0"/>
    <n v="4.5802328174815903E-3"/>
    <n v="0.49899067065654701"/>
  </r>
  <r>
    <x v="1"/>
    <x v="2"/>
    <n v="2030"/>
    <s v="Bornholm"/>
    <x v="6"/>
    <x v="0"/>
    <x v="0"/>
    <x v="0"/>
    <n v="0"/>
    <n v="0"/>
    <s v="C1.0_E0.0"/>
    <n v="19.481135123286599"/>
    <n v="776.12842331173795"/>
    <n v="68.683931266525505"/>
    <n v="77.612842331173795"/>
    <n v="0"/>
    <n v="0"/>
    <n v="0"/>
    <n v="0"/>
    <n v="146.296773597699"/>
    <n v="76.649333404321098"/>
    <n v="0"/>
    <n v="3817.1368035352398"/>
    <n v="0"/>
    <n v="0"/>
    <n v="0"/>
    <n v="1.90865030522824"/>
    <n v="0.49899067065654701"/>
  </r>
  <r>
    <x v="1"/>
    <x v="3"/>
    <n v="2030"/>
    <s v="Bornholm"/>
    <x v="6"/>
    <x v="0"/>
    <x v="0"/>
    <x v="0"/>
    <n v="0"/>
    <n v="0"/>
    <s v="C1.0_E0.0"/>
    <n v="18.896480512603102"/>
    <n v="0"/>
    <n v="0"/>
    <n v="0"/>
    <n v="0"/>
    <n v="0"/>
    <n v="0"/>
    <n v="0"/>
    <n v="0"/>
    <n v="76.645161290319095"/>
    <n v="0"/>
    <n v="0"/>
    <n v="0"/>
    <n v="0"/>
    <n v="0"/>
    <n v="0"/>
    <n v="0.51440137508575501"/>
  </r>
  <r>
    <x v="1"/>
    <x v="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5"/>
    <n v="2030"/>
    <s v="Bornholm"/>
    <x v="6"/>
    <x v="0"/>
    <x v="0"/>
    <x v="0"/>
    <n v="0"/>
    <n v="0"/>
    <s v="C1.0_E0.0"/>
    <n v="110.574922959774"/>
    <n v="0"/>
    <n v="0"/>
    <n v="0"/>
    <n v="0"/>
    <n v="0"/>
    <n v="0"/>
    <n v="0"/>
    <n v="0"/>
    <n v="435.06161640294499"/>
    <n v="0"/>
    <n v="0"/>
    <n v="0"/>
    <n v="0"/>
    <n v="0"/>
    <n v="0"/>
    <n v="0.49899067065654701"/>
  </r>
  <r>
    <x v="1"/>
    <x v="6"/>
    <n v="2030"/>
    <s v="Bornholm"/>
    <x v="6"/>
    <x v="0"/>
    <x v="0"/>
    <x v="0"/>
    <n v="0"/>
    <n v="0"/>
    <s v="C1.0_E0.0"/>
    <n v="151.17360855670401"/>
    <n v="0"/>
    <n v="0"/>
    <n v="0"/>
    <n v="0"/>
    <n v="0"/>
    <n v="0"/>
    <n v="0"/>
    <n v="0"/>
    <n v="594.79882721752006"/>
    <n v="0"/>
    <n v="0"/>
    <n v="0"/>
    <n v="0"/>
    <n v="0"/>
    <n v="0"/>
    <n v="0.49899067065654701"/>
  </r>
  <r>
    <x v="1"/>
    <x v="7"/>
    <n v="2030"/>
    <s v="Bornholm"/>
    <x v="6"/>
    <x v="0"/>
    <x v="0"/>
    <x v="0"/>
    <n v="0"/>
    <n v="0"/>
    <s v="C1.0_E0.0"/>
    <n v="1036.88324833907"/>
    <n v="0"/>
    <n v="0"/>
    <n v="0"/>
    <n v="0"/>
    <n v="0"/>
    <n v="0"/>
    <n v="0"/>
    <n v="0"/>
    <n v="7.1061179428168302"/>
    <n v="0"/>
    <n v="6.6797508662476597"/>
    <n v="0"/>
    <n v="0"/>
    <n v="0"/>
    <n v="0"/>
    <n v="8.6916225003365495E-4"/>
  </r>
  <r>
    <x v="1"/>
    <x v="8"/>
    <n v="2030"/>
    <s v="Bornholm"/>
    <x v="6"/>
    <x v="0"/>
    <x v="0"/>
    <x v="0"/>
    <n v="0"/>
    <n v="0"/>
    <s v="C1.0_E0.0"/>
    <n v="1055.7797288516699"/>
    <n v="0"/>
    <n v="0"/>
    <n v="0"/>
    <n v="0"/>
    <n v="0"/>
    <n v="0"/>
    <n v="0"/>
    <n v="0"/>
    <n v="7.1019458288147597"/>
    <n v="0"/>
    <n v="0"/>
    <n v="0"/>
    <n v="0"/>
    <n v="0"/>
    <n v="0"/>
    <n v="8.5310470752539204E-4"/>
  </r>
  <r>
    <x v="1"/>
    <x v="9"/>
    <n v="2030"/>
    <s v="Bornholm"/>
    <x v="6"/>
    <x v="0"/>
    <x v="0"/>
    <x v="0"/>
    <n v="0"/>
    <n v="0"/>
    <s v="C1.0_E0.0"/>
    <n v="46.356822244338197"/>
    <n v="11.5892055610845"/>
    <n v="0.94733478638554103"/>
    <n v="0.34767616683253599"/>
    <n v="0"/>
    <n v="0"/>
    <n v="0"/>
    <n v="0"/>
    <n v="1.29501095321807"/>
    <n v="231.851572361986"/>
    <n v="0"/>
    <n v="0"/>
    <n v="0"/>
    <n v="0"/>
    <n v="0"/>
    <n v="5.5855172342596602E-3"/>
    <n v="0.63429996931940402"/>
  </r>
  <r>
    <x v="1"/>
    <x v="10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1"/>
    <n v="2030"/>
    <s v="Bornholm"/>
    <x v="6"/>
    <x v="0"/>
    <x v="0"/>
    <x v="0"/>
    <n v="0"/>
    <n v="0"/>
    <s v="C1.0_E0.0"/>
    <n v="1100.7232386042999"/>
    <n v="2527.9384808120799"/>
    <n v="224.55028701145699"/>
    <n v="41.382469324287797"/>
    <n v="11.4343671769649"/>
    <n v="0"/>
    <n v="0"/>
    <n v="0"/>
    <n v="277.36712351271001"/>
    <n v="4061.1732048477602"/>
    <n v="0"/>
    <n v="0"/>
    <n v="0"/>
    <n v="0"/>
    <n v="0"/>
    <n v="6.8297289852503995E-2"/>
    <n v="0.46792007609383501"/>
  </r>
  <r>
    <x v="1"/>
    <x v="12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3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5"/>
    <n v="2030"/>
    <s v="Bornholm"/>
    <x v="6"/>
    <x v="0"/>
    <x v="0"/>
    <x v="0"/>
    <n v="0"/>
    <n v="0"/>
    <s v="C1.0_E0.0"/>
    <n v="184.148819380661"/>
    <n v="0"/>
    <n v="0"/>
    <n v="0"/>
    <n v="0"/>
    <n v="0"/>
    <n v="0"/>
    <n v="0"/>
    <n v="0"/>
    <n v="43.5879847184911"/>
    <n v="0"/>
    <n v="0"/>
    <n v="0"/>
    <n v="0"/>
    <n v="0"/>
    <n v="0"/>
    <n v="3.0018995343445001E-2"/>
  </r>
  <r>
    <x v="1"/>
    <x v="16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7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8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2"/>
    <x v="19"/>
    <m/>
    <m/>
    <x v="7"/>
    <x v="1"/>
    <x v="1"/>
    <x v="1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2">
  <location ref="A3:O17" firstHeaderRow="1" firstDataRow="6" firstDataCol="1"/>
  <pivotFields count="28">
    <pivotField axis="axisCol" showAll="0" defaultSubtotal="0">
      <items count="3">
        <item h="1" x="2"/>
        <item x="0"/>
        <item x="1"/>
      </items>
    </pivotField>
    <pivotField axis="axisRow" showAll="0" defaultSubtotal="0">
      <items count="20">
        <item n="NH3 plant with AEC layout (t NH3/h)" x="0"/>
        <item n="Waste water plant (t H2O / h)" x="1"/>
        <item n="Electrolyser AEC (t H2/h)" x="2"/>
        <item h="1" x="16"/>
        <item h="1" x="17"/>
        <item h="1" x="15"/>
        <item h="1" x="4"/>
        <item n="Heat sent to district heating (MWth)" h="1" x="5"/>
        <item n="Sale of oxygen (t O2/h)" h="1" x="6"/>
        <item n="Grid (MW)" h="1" x="14"/>
        <item h="1" x="19"/>
        <item h="1" x="3"/>
        <item h="1" x="7"/>
        <item h="1" x="8"/>
        <item n="H2 storage (buried pipes) (t H2)" x="9"/>
        <item x="10"/>
        <item x="11"/>
        <item x="12"/>
        <item x="13"/>
        <item n="Batteries (MWh)" x="18"/>
      </items>
    </pivotField>
    <pivotField showAll="0" defaultSubtotal="0"/>
    <pivotField showAll="0" defaultSubtotal="0"/>
    <pivotField axis="axisCol" showAll="0" defaultSubtotal="0">
      <items count="8">
        <item x="0"/>
        <item x="6"/>
        <item x="1"/>
        <item x="2"/>
        <item x="3"/>
        <item x="4"/>
        <item x="5"/>
        <item x="7"/>
      </items>
    </pivotField>
    <pivotField axis="axisCol" showAll="0" defaultSubtotal="0">
      <items count="2">
        <item x="0"/>
        <item h="1" x="1"/>
      </items>
    </pivotField>
    <pivotField axis="axisCol" showAll="0" defaultSubtotal="0">
      <items count="2">
        <item x="0"/>
        <item x="1"/>
      </items>
    </pivotField>
    <pivotField axis="axisCol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9">
    <i>
      <x/>
    </i>
    <i>
      <x v="1"/>
    </i>
    <i>
      <x v="2"/>
    </i>
    <i>
      <x v="14"/>
    </i>
    <i>
      <x v="15"/>
    </i>
    <i>
      <x v="16"/>
    </i>
    <i>
      <x v="17"/>
    </i>
    <i>
      <x v="18"/>
    </i>
    <i>
      <x v="19"/>
    </i>
  </rowItems>
  <colFields count="5">
    <field x="0"/>
    <field x="6"/>
    <field x="5"/>
    <field x="7"/>
    <field x="4"/>
  </colFields>
  <colItems count="14">
    <i>
      <x v="1"/>
      <x/>
      <x/>
      <x/>
      <x/>
    </i>
    <i r="4">
      <x v="1"/>
    </i>
    <i r="4">
      <x v="2"/>
    </i>
    <i r="4">
      <x v="3"/>
    </i>
    <i r="4">
      <x v="4"/>
    </i>
    <i r="4">
      <x v="5"/>
    </i>
    <i r="4">
      <x v="6"/>
    </i>
    <i>
      <x v="2"/>
      <x/>
      <x/>
      <x/>
      <x/>
    </i>
    <i r="4">
      <x v="1"/>
    </i>
    <i r="4">
      <x v="2"/>
    </i>
    <i r="4">
      <x v="3"/>
    </i>
    <i r="4">
      <x v="4"/>
    </i>
    <i r="4">
      <x v="5"/>
    </i>
    <i r="4">
      <x v="6"/>
    </i>
  </colItems>
  <dataFields count="1">
    <dataField name="Sum of Installed capacity(MW or t/h)" fld="11" baseField="0" baseItem="4"/>
  </dataFields>
  <formats count="9">
    <format dxfId="31">
      <pivotArea collapsedLevelsAreSubtotals="1" fieldPosition="0">
        <references count="1">
          <reference field="1" count="0"/>
        </references>
      </pivotArea>
    </format>
    <format dxfId="30">
      <pivotArea collapsedLevelsAreSubtotals="1" fieldPosition="0">
        <references count="1">
          <reference field="1" count="0"/>
        </references>
      </pivotArea>
    </format>
    <format dxfId="29">
      <pivotArea collapsedLevelsAreSubtotals="1" fieldPosition="0">
        <references count="1">
          <reference field="1" count="0"/>
        </references>
      </pivotArea>
    </format>
    <format dxfId="28">
      <pivotArea collapsedLevelsAreSubtotals="1" fieldPosition="0">
        <references count="1">
          <reference field="1" count="0"/>
        </references>
      </pivotArea>
    </format>
    <format dxfId="27">
      <pivotArea collapsedLevelsAreSubtotals="1" fieldPosition="0">
        <references count="1">
          <reference field="1" count="0"/>
        </references>
      </pivotArea>
    </format>
    <format dxfId="26">
      <pivotArea outline="0" collapsedLevelsAreSubtotals="1" fieldPosition="0">
        <references count="1">
          <reference field="0" count="1" selected="0">
            <x v="2"/>
          </reference>
        </references>
      </pivotArea>
    </format>
    <format dxfId="25">
      <pivotArea outline="0" collapsedLevelsAreSubtotals="1" fieldPosition="0">
        <references count="1">
          <reference field="0" count="1" selected="0">
            <x v="2"/>
          </reference>
        </references>
      </pivotArea>
    </format>
    <format dxfId="24">
      <pivotArea collapsedLevelsAreSubtotals="1" fieldPosition="0">
        <references count="6">
          <reference field="0" count="1" selected="0">
            <x v="1"/>
          </reference>
          <reference field="1" count="1">
            <x v="2"/>
          </reference>
          <reference field="4" count="7" selected="0">
            <x v="0"/>
            <x v="1"/>
            <x v="2"/>
            <x v="3"/>
            <x v="4"/>
            <x v="5"/>
            <x v="6"/>
          </reference>
          <reference field="5" count="0" selected="0"/>
          <reference field="6" count="1" selected="0">
            <x v="0"/>
          </reference>
          <reference field="7" count="1" selected="0">
            <x v="0"/>
          </reference>
        </references>
      </pivotArea>
    </format>
    <format dxfId="23">
      <pivotArea collapsedLevelsAreSubtotals="1" fieldPosition="0">
        <references count="6">
          <reference field="0" count="1" selected="0">
            <x v="1"/>
          </reference>
          <reference field="1" count="1">
            <x v="2"/>
          </reference>
          <reference field="4" count="7" selected="0">
            <x v="0"/>
            <x v="1"/>
            <x v="2"/>
            <x v="3"/>
            <x v="4"/>
            <x v="5"/>
            <x v="6"/>
          </reference>
          <reference field="5" count="0" selected="0"/>
          <reference field="6" count="1" selected="0">
            <x v="0"/>
          </reference>
          <reference field="7" count="1" selected="0">
            <x v="0"/>
          </reference>
        </references>
      </pivotArea>
    </format>
  </formats>
  <chartFormats count="8"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3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54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55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56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57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58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59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2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3">
  <location ref="A3:C15" firstHeaderRow="1" firstDataRow="5" firstDataCol="1"/>
  <pivotFields count="28">
    <pivotField axis="axisCol" showAll="0" defaultSubtotal="0">
      <items count="3">
        <item h="1" x="2"/>
        <item x="0"/>
        <item x="1"/>
      </items>
    </pivotField>
    <pivotField axis="axisRow" showAll="0" defaultSubtotal="0">
      <items count="20">
        <item n="NH3 plant with AEC layout (kt NH3)" x="0"/>
        <item n="Electrolyser AEC (kt H2)" h="1" x="2"/>
        <item h="1" x="16"/>
        <item h="1" x="17"/>
        <item h="1" x="4"/>
        <item n="Heat sent to district heating (GWhth)" h="1" x="5"/>
        <item n="Sale of oxygen (kt O2)" h="1" x="6"/>
        <item n="Grid (GWh)" h="1" x="14"/>
        <item h="1" x="19"/>
        <item h="1" x="3"/>
        <item h="1" x="7"/>
        <item h="1" x="8"/>
        <item n="Batteries (MWh)" h="1" x="18"/>
        <item n="H2 storage (buried pipes) (kt H2)" h="1" x="9"/>
        <item n="Curtailment (GWh)" h="1" x="15"/>
        <item h="1" x="1"/>
        <item h="1" x="10"/>
        <item h="1" x="11"/>
        <item h="1" x="12"/>
        <item h="1" x="13"/>
      </items>
    </pivotField>
    <pivotField showAll="0" defaultSubtotal="0"/>
    <pivotField showAll="0" defaultSubtotal="0"/>
    <pivotField axis="axisRow" showAll="0" defaultSubtotal="0">
      <items count="8">
        <item x="0"/>
        <item x="6"/>
        <item x="1"/>
        <item x="2"/>
        <item x="3"/>
        <item x="4"/>
        <item x="5"/>
        <item x="7"/>
      </items>
    </pivotField>
    <pivotField axis="axisCol" showAll="0" defaultSubtotal="0">
      <items count="2">
        <item x="0"/>
        <item h="1" x="1"/>
      </items>
    </pivotField>
    <pivotField axis="axisCol" showAll="0" defaultSubtotal="0">
      <items count="2">
        <item x="0"/>
        <item h="1" x="1"/>
      </items>
    </pivotField>
    <pivotField axis="axisCol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1"/>
    <field x="4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4">
    <field x="0"/>
    <field x="6"/>
    <field x="5"/>
    <field x="7"/>
  </colFields>
  <colItems count="2">
    <i>
      <x v="1"/>
      <x/>
      <x/>
      <x/>
    </i>
    <i>
      <x v="2"/>
      <x/>
      <x/>
      <x/>
    </i>
  </colItems>
  <dataFields count="1">
    <dataField name="Sum of Production(kton or GWh)" fld="20" baseField="1" baseItem="0"/>
  </dataFields>
  <formats count="5">
    <format dxfId="22">
      <pivotArea collapsedLevelsAreSubtotals="1" fieldPosition="0">
        <references count="1">
          <reference field="1" count="0"/>
        </references>
      </pivotArea>
    </format>
    <format dxfId="21">
      <pivotArea collapsedLevelsAreSubtotals="1" fieldPosition="0">
        <references count="1">
          <reference field="1" count="0"/>
        </references>
      </pivotArea>
    </format>
    <format dxfId="20">
      <pivotArea collapsedLevelsAreSubtotals="1" fieldPosition="0">
        <references count="1">
          <reference field="1" count="0"/>
        </references>
      </pivotArea>
    </format>
    <format dxfId="19">
      <pivotArea collapsedLevelsAreSubtotals="1" fieldPosition="0">
        <references count="1">
          <reference field="1" count="0"/>
        </references>
      </pivotArea>
    </format>
    <format dxfId="18">
      <pivotArea collapsedLevelsAreSubtotals="1" fieldPosition="0">
        <references count="1">
          <reference field="1" count="0"/>
        </references>
      </pivotArea>
    </format>
  </formats>
  <chartFormats count="2">
    <chartFormat chart="2" format="11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2" format="1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4">
  <location ref="A4:F22" firstHeaderRow="1" firstDataRow="2" firstDataCol="1"/>
  <pivotFields count="37">
    <pivotField axis="axisRow" multipleItemSelectionAllowed="1" showAll="0">
      <items count="4">
        <item h="1" x="2"/>
        <item x="0"/>
        <item x="1"/>
        <item t="default"/>
      </items>
    </pivotField>
    <pivotField axis="axisCol" showAll="0">
      <items count="21">
        <item n="Grid" h="1" x="14"/>
        <item n="H2 storage (buried pipes)" x="9"/>
        <item x="2"/>
        <item n="NH3 plant AEC layout" x="0"/>
        <item h="1" x="17"/>
        <item h="1" x="15"/>
        <item h="1" x="3"/>
        <item h="1" x="4"/>
        <item h="1" x="5"/>
        <item h="1" x="6"/>
        <item h="1" x="19"/>
        <item h="1" x="7"/>
        <item h="1" x="8"/>
        <item h="1" x="16"/>
        <item x="18"/>
        <item h="1" x="1"/>
        <item h="1" x="10"/>
        <item h="1" x="11"/>
        <item h="1" x="12"/>
        <item h="1" x="13"/>
        <item t="default"/>
      </items>
    </pivotField>
    <pivotField showAll="0" defaultSubtotal="0"/>
    <pivotField showAll="0"/>
    <pivotField axis="axisRow" showAll="0" defaultSubtotal="0">
      <items count="8">
        <item x="0"/>
        <item x="6"/>
        <item x="1"/>
        <item x="2"/>
        <item x="3"/>
        <item x="4"/>
        <item x="5"/>
        <item x="7"/>
      </items>
    </pivotField>
    <pivotField multipleItemSelectionAllowed="1" showAll="0">
      <items count="3">
        <item x="0"/>
        <item h="1" x="1"/>
        <item t="default"/>
      </items>
    </pivotField>
    <pivotField multipleItemSelectionAllowed="1" showAll="0">
      <items count="3">
        <item x="0"/>
        <item h="1" x="1"/>
        <item t="default"/>
      </items>
    </pivotField>
    <pivotField showAll="0" defaultSubtotal="0">
      <items count="2">
        <item n=" " x="0"/>
        <item x="1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</pivotFields>
  <rowFields count="2">
    <field x="0"/>
    <field x="4"/>
  </rowFields>
  <rowItems count="17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1"/>
  </colFields>
  <colItems count="5">
    <i>
      <x v="1"/>
    </i>
    <i>
      <x v="2"/>
    </i>
    <i>
      <x v="3"/>
    </i>
    <i>
      <x v="14"/>
    </i>
    <i t="grand">
      <x/>
    </i>
  </colItems>
  <dataFields count="1">
    <dataField name="Sum of Land use per unit (km2)" fld="34" baseField="0" baseItem="1"/>
  </dataFields>
  <formats count="18">
    <format dxfId="17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16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15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14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13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12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11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10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9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8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7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6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5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4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2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1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0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</formats>
  <chartFormats count="16">
    <chartFormat chart="0" format="0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9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2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16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19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32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113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3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13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3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M5"/>
  <sheetViews>
    <sheetView workbookViewId="0">
      <selection activeCell="E15" sqref="E15"/>
    </sheetView>
  </sheetViews>
  <sheetFormatPr defaultRowHeight="14.5" x14ac:dyDescent="0.35"/>
  <cols>
    <col min="3" max="3" width="9.7265625" customWidth="1"/>
    <col min="4" max="4" width="13.81640625" customWidth="1"/>
  </cols>
  <sheetData>
    <row r="2" spans="1:13" x14ac:dyDescent="0.35">
      <c r="A2" s="14" t="s">
        <v>0</v>
      </c>
      <c r="B2" s="14"/>
      <c r="C2" s="14"/>
      <c r="D2" s="1" t="s">
        <v>49</v>
      </c>
      <c r="E2" s="1"/>
      <c r="F2" s="1"/>
      <c r="G2" s="1"/>
      <c r="H2" s="1"/>
      <c r="I2" s="1"/>
      <c r="J2" s="1"/>
      <c r="K2" s="1"/>
      <c r="L2" s="1"/>
      <c r="M2" s="1"/>
    </row>
    <row r="4" spans="1:13" x14ac:dyDescent="0.35">
      <c r="A4" s="14" t="s">
        <v>15</v>
      </c>
      <c r="B4" s="14"/>
      <c r="C4" s="14"/>
      <c r="D4" s="2" t="s">
        <v>38</v>
      </c>
      <c r="E4" s="2"/>
      <c r="F4" s="2"/>
      <c r="G4" s="2"/>
      <c r="H4" s="2"/>
      <c r="I4" s="2"/>
      <c r="J4" s="2"/>
      <c r="K4" s="2"/>
      <c r="L4" s="2"/>
      <c r="M4" s="2"/>
    </row>
    <row r="5" spans="1:13" x14ac:dyDescent="0.35">
      <c r="A5" t="s">
        <v>16</v>
      </c>
    </row>
  </sheetData>
  <mergeCells count="2">
    <mergeCell ref="A2:C2"/>
    <mergeCell ref="A4:C4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mportMainResults">
                <anchor moveWithCells="1" sizeWithCells="1">
                  <from>
                    <xdr:col>1</xdr:col>
                    <xdr:colOff>6350</xdr:colOff>
                    <xdr:row>8</xdr:row>
                    <xdr:rowOff>6350</xdr:rowOff>
                  </from>
                  <to>
                    <xdr:col>4</xdr:col>
                    <xdr:colOff>152400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ImportHourlyResults">
                <anchor moveWithCells="1" sizeWithCells="1">
                  <from>
                    <xdr:col>5</xdr:col>
                    <xdr:colOff>533400</xdr:colOff>
                    <xdr:row>7</xdr:row>
                    <xdr:rowOff>152400</xdr:rowOff>
                  </from>
                  <to>
                    <xdr:col>9</xdr:col>
                    <xdr:colOff>69850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O267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2" sqref="B12"/>
    </sheetView>
  </sheetViews>
  <sheetFormatPr defaultRowHeight="14.5" x14ac:dyDescent="0.35"/>
  <cols>
    <col min="1" max="1" width="31" customWidth="1"/>
    <col min="2" max="2" width="27.1796875" bestFit="1" customWidth="1"/>
    <col min="3" max="3" width="4.81640625" bestFit="1" customWidth="1"/>
    <col min="4" max="4" width="18.7265625" customWidth="1"/>
    <col min="5" max="5" width="11.7265625" customWidth="1"/>
    <col min="6" max="6" width="10.453125" bestFit="1" customWidth="1"/>
    <col min="7" max="7" width="11.08984375" bestFit="1" customWidth="1"/>
    <col min="8" max="8" width="7.26953125" bestFit="1" customWidth="1"/>
    <col min="9" max="9" width="19.6328125" customWidth="1"/>
    <col min="10" max="10" width="36.1796875" bestFit="1" customWidth="1"/>
    <col min="11" max="11" width="28.36328125" bestFit="1" customWidth="1"/>
    <col min="12" max="12" width="25.36328125" bestFit="1" customWidth="1"/>
    <col min="13" max="13" width="12.26953125" customWidth="1"/>
  </cols>
  <sheetData>
    <row r="1" spans="1:15" x14ac:dyDescent="0.35">
      <c r="A1" t="s">
        <v>5</v>
      </c>
      <c r="B1" t="s">
        <v>6</v>
      </c>
      <c r="C1" t="s">
        <v>50</v>
      </c>
      <c r="D1" t="s">
        <v>22</v>
      </c>
      <c r="E1" t="s">
        <v>51</v>
      </c>
      <c r="F1" t="s">
        <v>23</v>
      </c>
      <c r="G1" t="s">
        <v>17</v>
      </c>
      <c r="H1" t="s">
        <v>27</v>
      </c>
      <c r="I1" t="s">
        <v>21</v>
      </c>
      <c r="J1" t="s">
        <v>7</v>
      </c>
      <c r="K1" t="s">
        <v>19</v>
      </c>
      <c r="L1" t="s">
        <v>20</v>
      </c>
      <c r="M1" t="s">
        <v>39</v>
      </c>
      <c r="N1" t="s">
        <v>40</v>
      </c>
      <c r="O1" t="s">
        <v>41</v>
      </c>
    </row>
    <row r="2" spans="1:15" x14ac:dyDescent="0.35">
      <c r="A2" t="s">
        <v>52</v>
      </c>
      <c r="B2" t="s">
        <v>28</v>
      </c>
      <c r="C2">
        <v>2030</v>
      </c>
      <c r="D2" t="s">
        <v>42</v>
      </c>
      <c r="E2">
        <v>2015</v>
      </c>
      <c r="F2" t="s">
        <v>29</v>
      </c>
      <c r="G2" t="s">
        <v>24</v>
      </c>
      <c r="H2" t="s">
        <v>30</v>
      </c>
      <c r="I2">
        <v>85.175352370948104</v>
      </c>
      <c r="J2">
        <v>425.80645161289902</v>
      </c>
      <c r="K2">
        <v>0.63401071954547195</v>
      </c>
      <c r="L2">
        <v>4999.1745236160396</v>
      </c>
      <c r="M2">
        <v>0</v>
      </c>
      <c r="N2">
        <v>0</v>
      </c>
      <c r="O2">
        <v>1.99186344684667E-2</v>
      </c>
    </row>
    <row r="3" spans="1:15" x14ac:dyDescent="0.35">
      <c r="A3" t="s">
        <v>52</v>
      </c>
      <c r="B3" t="s">
        <v>53</v>
      </c>
      <c r="C3">
        <v>2030</v>
      </c>
      <c r="D3" t="s">
        <v>42</v>
      </c>
      <c r="E3">
        <v>2015</v>
      </c>
      <c r="F3" t="s">
        <v>29</v>
      </c>
      <c r="G3" t="s">
        <v>24</v>
      </c>
      <c r="H3" t="s">
        <v>30</v>
      </c>
      <c r="I3">
        <v>184.685185489849</v>
      </c>
      <c r="J3">
        <v>862.37412993933697</v>
      </c>
      <c r="K3">
        <v>0.59219121736362401</v>
      </c>
      <c r="L3">
        <v>4669.4277489121696</v>
      </c>
      <c r="M3">
        <v>0</v>
      </c>
      <c r="N3">
        <v>0</v>
      </c>
      <c r="O3">
        <v>0</v>
      </c>
    </row>
    <row r="4" spans="1:15" x14ac:dyDescent="0.35">
      <c r="A4" t="s">
        <v>52</v>
      </c>
      <c r="B4" t="s">
        <v>25</v>
      </c>
      <c r="C4">
        <v>2030</v>
      </c>
      <c r="D4" t="s">
        <v>42</v>
      </c>
      <c r="E4">
        <v>2015</v>
      </c>
      <c r="F4" t="s">
        <v>29</v>
      </c>
      <c r="G4" t="s">
        <v>24</v>
      </c>
      <c r="H4" t="s">
        <v>30</v>
      </c>
      <c r="I4">
        <v>16.416460932431001</v>
      </c>
      <c r="J4">
        <v>76.655478216829593</v>
      </c>
      <c r="K4">
        <v>0.59219121736362401</v>
      </c>
      <c r="L4">
        <v>4669.4277489121696</v>
      </c>
      <c r="M4">
        <v>7.7649860210398996E-3</v>
      </c>
      <c r="N4" s="10">
        <v>9.8042752790908592E-7</v>
      </c>
      <c r="O4">
        <v>0</v>
      </c>
    </row>
    <row r="5" spans="1:15" x14ac:dyDescent="0.35">
      <c r="A5" t="s">
        <v>52</v>
      </c>
      <c r="B5" t="s">
        <v>31</v>
      </c>
      <c r="C5">
        <v>2030</v>
      </c>
      <c r="D5" t="s">
        <v>42</v>
      </c>
      <c r="E5">
        <v>2015</v>
      </c>
      <c r="F5" t="s">
        <v>29</v>
      </c>
      <c r="G5" t="s">
        <v>24</v>
      </c>
      <c r="H5" t="s">
        <v>30</v>
      </c>
      <c r="I5">
        <v>15.3315634267706</v>
      </c>
      <c r="J5">
        <v>76.645161290319905</v>
      </c>
      <c r="K5">
        <v>0.63401071954547195</v>
      </c>
      <c r="L5">
        <v>4999.1745236160396</v>
      </c>
      <c r="M5">
        <v>0</v>
      </c>
      <c r="N5">
        <v>0</v>
      </c>
      <c r="O5">
        <v>0</v>
      </c>
    </row>
    <row r="6" spans="1:15" x14ac:dyDescent="0.35">
      <c r="A6" t="s">
        <v>52</v>
      </c>
      <c r="B6" t="s">
        <v>8</v>
      </c>
      <c r="C6">
        <v>2030</v>
      </c>
      <c r="D6" t="s">
        <v>42</v>
      </c>
      <c r="E6">
        <v>2015</v>
      </c>
      <c r="F6" t="s">
        <v>29</v>
      </c>
      <c r="G6" t="s">
        <v>24</v>
      </c>
      <c r="H6" t="s">
        <v>30</v>
      </c>
      <c r="I6">
        <v>0</v>
      </c>
      <c r="J6">
        <v>0</v>
      </c>
      <c r="K6" t="s">
        <v>18</v>
      </c>
      <c r="L6" t="s">
        <v>18</v>
      </c>
      <c r="M6">
        <v>0</v>
      </c>
      <c r="N6">
        <v>0</v>
      </c>
      <c r="O6">
        <v>0</v>
      </c>
    </row>
    <row r="7" spans="1:15" x14ac:dyDescent="0.35">
      <c r="A7" t="s">
        <v>52</v>
      </c>
      <c r="B7" t="s">
        <v>9</v>
      </c>
      <c r="C7">
        <v>2030</v>
      </c>
      <c r="D7" t="s">
        <v>42</v>
      </c>
      <c r="E7">
        <v>2015</v>
      </c>
      <c r="F7" t="s">
        <v>29</v>
      </c>
      <c r="G7" t="s">
        <v>24</v>
      </c>
      <c r="H7" t="s">
        <v>30</v>
      </c>
      <c r="I7">
        <v>93.179832252478803</v>
      </c>
      <c r="J7">
        <v>435.09649435872598</v>
      </c>
      <c r="K7">
        <v>0.59219121736362401</v>
      </c>
      <c r="L7">
        <v>4669.4277489121696</v>
      </c>
      <c r="M7">
        <v>0</v>
      </c>
      <c r="N7">
        <v>0</v>
      </c>
      <c r="O7">
        <v>0</v>
      </c>
    </row>
    <row r="8" spans="1:15" x14ac:dyDescent="0.35">
      <c r="A8" t="s">
        <v>52</v>
      </c>
      <c r="B8" t="s">
        <v>10</v>
      </c>
      <c r="C8">
        <v>2030</v>
      </c>
      <c r="D8" t="s">
        <v>42</v>
      </c>
      <c r="E8">
        <v>2015</v>
      </c>
      <c r="F8" t="s">
        <v>29</v>
      </c>
      <c r="G8" t="s">
        <v>24</v>
      </c>
      <c r="H8" t="s">
        <v>30</v>
      </c>
      <c r="I8">
        <v>127.391736835665</v>
      </c>
      <c r="J8">
        <v>594.84651096257505</v>
      </c>
      <c r="K8">
        <v>0.59219121736362401</v>
      </c>
      <c r="L8">
        <v>4669.4277489121696</v>
      </c>
      <c r="M8">
        <v>0</v>
      </c>
      <c r="N8">
        <v>0</v>
      </c>
      <c r="O8">
        <v>0</v>
      </c>
    </row>
    <row r="9" spans="1:15" x14ac:dyDescent="0.35">
      <c r="A9" t="s">
        <v>52</v>
      </c>
      <c r="B9" t="s">
        <v>33</v>
      </c>
      <c r="C9">
        <v>2030</v>
      </c>
      <c r="D9" t="s">
        <v>42</v>
      </c>
      <c r="E9">
        <v>2015</v>
      </c>
      <c r="F9" t="s">
        <v>29</v>
      </c>
      <c r="G9" t="s">
        <v>24</v>
      </c>
      <c r="H9" t="s">
        <v>30</v>
      </c>
      <c r="I9">
        <v>885.64665701728097</v>
      </c>
      <c r="J9">
        <v>12.611806355358199</v>
      </c>
      <c r="K9">
        <v>1.8059890322956801E-3</v>
      </c>
      <c r="L9">
        <v>14.2402235196514</v>
      </c>
      <c r="M9">
        <v>0</v>
      </c>
      <c r="N9">
        <v>0</v>
      </c>
      <c r="O9">
        <v>0</v>
      </c>
    </row>
    <row r="10" spans="1:15" x14ac:dyDescent="0.35">
      <c r="A10" t="s">
        <v>52</v>
      </c>
      <c r="B10" t="s">
        <v>34</v>
      </c>
      <c r="C10">
        <v>2030</v>
      </c>
      <c r="D10" t="s">
        <v>42</v>
      </c>
      <c r="E10">
        <v>2015</v>
      </c>
      <c r="F10" t="s">
        <v>29</v>
      </c>
      <c r="G10" t="s">
        <v>24</v>
      </c>
      <c r="H10" t="s">
        <v>30</v>
      </c>
      <c r="I10">
        <v>900.978220444052</v>
      </c>
      <c r="J10">
        <v>12.6014894288476</v>
      </c>
      <c r="K10">
        <v>1.7738050580846799E-3</v>
      </c>
      <c r="L10">
        <v>13.9864528829977</v>
      </c>
      <c r="M10">
        <v>0</v>
      </c>
      <c r="N10">
        <v>0</v>
      </c>
      <c r="O10">
        <v>0</v>
      </c>
    </row>
    <row r="11" spans="1:15" x14ac:dyDescent="0.35">
      <c r="A11" t="s">
        <v>52</v>
      </c>
      <c r="B11" t="s">
        <v>35</v>
      </c>
      <c r="C11">
        <v>2030</v>
      </c>
      <c r="D11" t="s">
        <v>42</v>
      </c>
      <c r="E11">
        <v>2015</v>
      </c>
      <c r="F11" t="s">
        <v>29</v>
      </c>
      <c r="G11" t="s">
        <v>24</v>
      </c>
      <c r="H11" t="s">
        <v>30</v>
      </c>
      <c r="I11">
        <v>114.63251678103499</v>
      </c>
      <c r="J11">
        <v>519.07604745899403</v>
      </c>
      <c r="K11">
        <v>0.57427705398390905</v>
      </c>
      <c r="L11">
        <v>4528.17457066312</v>
      </c>
      <c r="M11">
        <v>0.114632516781035</v>
      </c>
      <c r="N11" s="10">
        <v>1.44738026238682E-5</v>
      </c>
      <c r="O11">
        <v>0</v>
      </c>
    </row>
    <row r="12" spans="1:15" x14ac:dyDescent="0.35">
      <c r="A12" t="s">
        <v>52</v>
      </c>
      <c r="B12" t="s">
        <v>54</v>
      </c>
      <c r="C12">
        <v>2030</v>
      </c>
      <c r="D12" t="s">
        <v>42</v>
      </c>
      <c r="E12">
        <v>2015</v>
      </c>
      <c r="F12" t="s">
        <v>29</v>
      </c>
      <c r="G12" t="s">
        <v>24</v>
      </c>
      <c r="H12" t="s">
        <v>30</v>
      </c>
      <c r="I12">
        <v>0</v>
      </c>
      <c r="J12">
        <v>0</v>
      </c>
      <c r="K12" t="s">
        <v>18</v>
      </c>
      <c r="L12" t="s">
        <v>18</v>
      </c>
      <c r="M12">
        <v>0</v>
      </c>
      <c r="N12">
        <v>0</v>
      </c>
      <c r="O12">
        <v>0</v>
      </c>
    </row>
    <row r="13" spans="1:15" x14ac:dyDescent="0.35">
      <c r="A13" t="s">
        <v>52</v>
      </c>
      <c r="B13" t="s">
        <v>55</v>
      </c>
      <c r="C13">
        <v>2030</v>
      </c>
      <c r="D13" t="s">
        <v>42</v>
      </c>
      <c r="E13">
        <v>2015</v>
      </c>
      <c r="F13" t="s">
        <v>29</v>
      </c>
      <c r="G13" t="s">
        <v>24</v>
      </c>
      <c r="H13" t="s">
        <v>30</v>
      </c>
      <c r="I13">
        <v>887.81644832931499</v>
      </c>
      <c r="J13">
        <v>3918.6690984963402</v>
      </c>
      <c r="K13">
        <v>0.559775269499029</v>
      </c>
      <c r="L13">
        <v>4413.8279999998404</v>
      </c>
      <c r="M13">
        <v>152.66891645470901</v>
      </c>
      <c r="N13">
        <v>1.9276378340241099E-2</v>
      </c>
      <c r="O13">
        <v>0</v>
      </c>
    </row>
    <row r="14" spans="1:15" x14ac:dyDescent="0.35">
      <c r="A14" t="s">
        <v>52</v>
      </c>
      <c r="B14" t="s">
        <v>56</v>
      </c>
      <c r="C14">
        <v>2030</v>
      </c>
      <c r="D14" t="s">
        <v>42</v>
      </c>
      <c r="E14">
        <v>2015</v>
      </c>
      <c r="F14" t="s">
        <v>29</v>
      </c>
      <c r="G14" t="s">
        <v>24</v>
      </c>
      <c r="H14" t="s">
        <v>30</v>
      </c>
      <c r="I14">
        <v>0</v>
      </c>
      <c r="J14">
        <v>0</v>
      </c>
      <c r="K14" t="s">
        <v>18</v>
      </c>
      <c r="L14" t="s">
        <v>18</v>
      </c>
      <c r="M14">
        <v>0</v>
      </c>
      <c r="N14">
        <v>0</v>
      </c>
      <c r="O14">
        <v>0</v>
      </c>
    </row>
    <row r="15" spans="1:15" x14ac:dyDescent="0.35">
      <c r="A15" t="s">
        <v>52</v>
      </c>
      <c r="B15" t="s">
        <v>57</v>
      </c>
      <c r="C15">
        <v>2030</v>
      </c>
      <c r="D15" t="s">
        <v>42</v>
      </c>
      <c r="E15">
        <v>2015</v>
      </c>
      <c r="F15" t="s">
        <v>29</v>
      </c>
      <c r="G15" t="s">
        <v>24</v>
      </c>
      <c r="H15" t="s">
        <v>30</v>
      </c>
      <c r="I15">
        <v>28.853831842444201</v>
      </c>
      <c r="J15">
        <v>120.547388201987</v>
      </c>
      <c r="K15">
        <v>0.52984960050727603</v>
      </c>
      <c r="L15">
        <v>4177.8640999998697</v>
      </c>
      <c r="M15">
        <v>4.9617049236267103</v>
      </c>
      <c r="N15">
        <v>6.2647789439731702E-4</v>
      </c>
      <c r="O15">
        <v>0</v>
      </c>
    </row>
    <row r="16" spans="1:15" x14ac:dyDescent="0.35">
      <c r="A16" t="s">
        <v>52</v>
      </c>
      <c r="B16" t="s">
        <v>11</v>
      </c>
      <c r="C16">
        <v>2030</v>
      </c>
      <c r="D16" t="s">
        <v>42</v>
      </c>
      <c r="E16">
        <v>2015</v>
      </c>
      <c r="F16" t="s">
        <v>29</v>
      </c>
      <c r="G16" t="s">
        <v>24</v>
      </c>
      <c r="H16" t="s">
        <v>30</v>
      </c>
      <c r="I16">
        <v>0</v>
      </c>
      <c r="J16">
        <v>0</v>
      </c>
      <c r="K16" t="s">
        <v>18</v>
      </c>
      <c r="L16" t="s">
        <v>18</v>
      </c>
      <c r="M16">
        <v>0</v>
      </c>
      <c r="N16">
        <v>0</v>
      </c>
      <c r="O16">
        <v>0</v>
      </c>
    </row>
    <row r="17" spans="1:15" x14ac:dyDescent="0.35">
      <c r="A17" t="s">
        <v>52</v>
      </c>
      <c r="B17" t="s">
        <v>12</v>
      </c>
      <c r="C17">
        <v>2030</v>
      </c>
      <c r="D17" t="s">
        <v>42</v>
      </c>
      <c r="E17">
        <v>2015</v>
      </c>
      <c r="F17" t="s">
        <v>29</v>
      </c>
      <c r="G17" t="s">
        <v>24</v>
      </c>
      <c r="H17" t="s">
        <v>30</v>
      </c>
      <c r="I17">
        <v>815.86863703556105</v>
      </c>
      <c r="J17">
        <v>14.9660571671211</v>
      </c>
      <c r="K17">
        <v>2.3264057547782001E-3</v>
      </c>
      <c r="L17">
        <v>18.343709376426101</v>
      </c>
      <c r="M17">
        <v>0</v>
      </c>
      <c r="N17">
        <v>0</v>
      </c>
      <c r="O17">
        <v>0</v>
      </c>
    </row>
    <row r="18" spans="1:15" x14ac:dyDescent="0.35">
      <c r="A18" t="s">
        <v>52</v>
      </c>
      <c r="B18" t="s">
        <v>13</v>
      </c>
      <c r="C18">
        <v>2030</v>
      </c>
      <c r="D18" t="s">
        <v>42</v>
      </c>
      <c r="E18">
        <v>2015</v>
      </c>
      <c r="F18" t="s">
        <v>29</v>
      </c>
      <c r="G18" t="s">
        <v>24</v>
      </c>
      <c r="H18" t="s">
        <v>30</v>
      </c>
      <c r="I18">
        <v>65.209124834864596</v>
      </c>
      <c r="J18">
        <v>11.8367780841472</v>
      </c>
      <c r="K18">
        <v>2.30209603184575E-2</v>
      </c>
      <c r="L18">
        <v>181.520272111038</v>
      </c>
      <c r="M18">
        <v>0</v>
      </c>
      <c r="N18">
        <v>0</v>
      </c>
      <c r="O18">
        <v>0</v>
      </c>
    </row>
    <row r="19" spans="1:15" x14ac:dyDescent="0.35">
      <c r="A19" t="s">
        <v>52</v>
      </c>
      <c r="B19" t="s">
        <v>14</v>
      </c>
      <c r="C19">
        <v>2030</v>
      </c>
      <c r="D19" t="s">
        <v>42</v>
      </c>
      <c r="E19">
        <v>2015</v>
      </c>
      <c r="F19" t="s">
        <v>29</v>
      </c>
      <c r="G19" t="s">
        <v>24</v>
      </c>
      <c r="H19" t="s">
        <v>30</v>
      </c>
      <c r="I19">
        <v>148.04475677727399</v>
      </c>
      <c r="J19">
        <v>11.8367780841473</v>
      </c>
      <c r="K19">
        <v>1.01400191935416E-2</v>
      </c>
      <c r="L19">
        <v>79.954051341076095</v>
      </c>
      <c r="M19">
        <v>0</v>
      </c>
      <c r="N19">
        <v>0</v>
      </c>
      <c r="O19">
        <v>0</v>
      </c>
    </row>
    <row r="20" spans="1:15" x14ac:dyDescent="0.35">
      <c r="A20" t="s">
        <v>52</v>
      </c>
      <c r="B20" t="s">
        <v>4</v>
      </c>
      <c r="C20">
        <v>2030</v>
      </c>
      <c r="D20" t="s">
        <v>42</v>
      </c>
      <c r="E20">
        <v>2015</v>
      </c>
      <c r="F20" t="s">
        <v>29</v>
      </c>
      <c r="G20" t="s">
        <v>24</v>
      </c>
      <c r="H20" t="s">
        <v>30</v>
      </c>
      <c r="I20">
        <v>148.04475677727399</v>
      </c>
      <c r="J20">
        <v>615.36813390609598</v>
      </c>
      <c r="K20">
        <v>0.52715736026668103</v>
      </c>
      <c r="L20">
        <v>4156.6357857027797</v>
      </c>
      <c r="M20">
        <v>2.5661091174727499E-3</v>
      </c>
      <c r="N20" s="10">
        <v>3.2400367644858201E-7</v>
      </c>
      <c r="O20">
        <v>0</v>
      </c>
    </row>
    <row r="21" spans="1:15" x14ac:dyDescent="0.35">
      <c r="A21" t="s">
        <v>58</v>
      </c>
      <c r="B21" t="s">
        <v>28</v>
      </c>
      <c r="C21">
        <v>2030</v>
      </c>
      <c r="D21" t="s">
        <v>42</v>
      </c>
      <c r="E21">
        <v>2017</v>
      </c>
      <c r="F21" t="s">
        <v>29</v>
      </c>
      <c r="G21" t="s">
        <v>24</v>
      </c>
      <c r="H21" t="s">
        <v>30</v>
      </c>
      <c r="I21">
        <v>85.342854176083307</v>
      </c>
      <c r="J21">
        <v>425.80645161291397</v>
      </c>
      <c r="K21">
        <v>0.63276635127327097</v>
      </c>
      <c r="L21">
        <v>4989.3626797897396</v>
      </c>
      <c r="M21">
        <v>0</v>
      </c>
      <c r="N21">
        <v>0</v>
      </c>
      <c r="O21">
        <v>2.0769743356513898E-2</v>
      </c>
    </row>
    <row r="22" spans="1:15" x14ac:dyDescent="0.35">
      <c r="A22" t="s">
        <v>58</v>
      </c>
      <c r="B22" t="s">
        <v>53</v>
      </c>
      <c r="C22">
        <v>2030</v>
      </c>
      <c r="D22" t="s">
        <v>42</v>
      </c>
      <c r="E22">
        <v>2017</v>
      </c>
      <c r="F22" t="s">
        <v>29</v>
      </c>
      <c r="G22" t="s">
        <v>24</v>
      </c>
      <c r="H22" t="s">
        <v>30</v>
      </c>
      <c r="I22">
        <v>194.60926039629399</v>
      </c>
      <c r="J22">
        <v>862.42334190080703</v>
      </c>
      <c r="K22">
        <v>0.56202457074323198</v>
      </c>
      <c r="L22">
        <v>4431.5637403103801</v>
      </c>
      <c r="M22">
        <v>0</v>
      </c>
      <c r="N22">
        <v>0</v>
      </c>
      <c r="O22">
        <v>0</v>
      </c>
    </row>
    <row r="23" spans="1:15" x14ac:dyDescent="0.35">
      <c r="A23" t="s">
        <v>58</v>
      </c>
      <c r="B23" t="s">
        <v>25</v>
      </c>
      <c r="C23">
        <v>2030</v>
      </c>
      <c r="D23" t="s">
        <v>42</v>
      </c>
      <c r="E23">
        <v>2017</v>
      </c>
      <c r="F23" t="s">
        <v>29</v>
      </c>
      <c r="G23" t="s">
        <v>24</v>
      </c>
      <c r="H23" t="s">
        <v>30</v>
      </c>
      <c r="I23">
        <v>17.298600924115</v>
      </c>
      <c r="J23">
        <v>76.659852613407594</v>
      </c>
      <c r="K23">
        <v>0.56202457074323198</v>
      </c>
      <c r="L23">
        <v>4431.5637403103801</v>
      </c>
      <c r="M23">
        <v>8.1822382371064296E-3</v>
      </c>
      <c r="N23" s="10">
        <v>1.03311088852351E-6</v>
      </c>
      <c r="O23">
        <v>0</v>
      </c>
    </row>
    <row r="24" spans="1:15" x14ac:dyDescent="0.35">
      <c r="A24" t="s">
        <v>58</v>
      </c>
      <c r="B24" t="s">
        <v>31</v>
      </c>
      <c r="C24">
        <v>2030</v>
      </c>
      <c r="D24" t="s">
        <v>42</v>
      </c>
      <c r="E24">
        <v>2017</v>
      </c>
      <c r="F24" t="s">
        <v>29</v>
      </c>
      <c r="G24" t="s">
        <v>24</v>
      </c>
      <c r="H24" t="s">
        <v>30</v>
      </c>
      <c r="I24">
        <v>15.361713751695</v>
      </c>
      <c r="J24">
        <v>76.645161290318796</v>
      </c>
      <c r="K24">
        <v>0.63276635127327097</v>
      </c>
      <c r="L24">
        <v>4989.3626797897396</v>
      </c>
      <c r="M24">
        <v>0</v>
      </c>
      <c r="N24">
        <v>0</v>
      </c>
      <c r="O24">
        <v>0</v>
      </c>
    </row>
    <row r="25" spans="1:15" x14ac:dyDescent="0.35">
      <c r="A25" t="s">
        <v>58</v>
      </c>
      <c r="B25" t="s">
        <v>8</v>
      </c>
      <c r="C25">
        <v>2030</v>
      </c>
      <c r="D25" t="s">
        <v>42</v>
      </c>
      <c r="E25">
        <v>2017</v>
      </c>
      <c r="F25" t="s">
        <v>29</v>
      </c>
      <c r="G25" t="s">
        <v>24</v>
      </c>
      <c r="H25" t="s">
        <v>30</v>
      </c>
      <c r="I25">
        <v>0</v>
      </c>
      <c r="J25">
        <v>0</v>
      </c>
      <c r="K25" t="s">
        <v>18</v>
      </c>
      <c r="L25" t="s">
        <v>18</v>
      </c>
      <c r="M25">
        <v>0</v>
      </c>
      <c r="N25">
        <v>0</v>
      </c>
      <c r="O25">
        <v>0</v>
      </c>
    </row>
    <row r="26" spans="1:15" x14ac:dyDescent="0.35">
      <c r="A26" t="s">
        <v>58</v>
      </c>
      <c r="B26" t="s">
        <v>9</v>
      </c>
      <c r="C26">
        <v>2030</v>
      </c>
      <c r="D26" t="s">
        <v>42</v>
      </c>
      <c r="E26">
        <v>2017</v>
      </c>
      <c r="F26" t="s">
        <v>29</v>
      </c>
      <c r="G26" t="s">
        <v>24</v>
      </c>
      <c r="H26" t="s">
        <v>30</v>
      </c>
      <c r="I26">
        <v>98.1868588452772</v>
      </c>
      <c r="J26">
        <v>435.12132343371599</v>
      </c>
      <c r="K26">
        <v>0.56202457074323198</v>
      </c>
      <c r="L26">
        <v>4431.5637403103801</v>
      </c>
      <c r="M26">
        <v>0</v>
      </c>
      <c r="N26">
        <v>0</v>
      </c>
      <c r="O26">
        <v>0</v>
      </c>
    </row>
    <row r="27" spans="1:15" x14ac:dyDescent="0.35">
      <c r="A27" t="s">
        <v>58</v>
      </c>
      <c r="B27" t="s">
        <v>10</v>
      </c>
      <c r="C27">
        <v>2030</v>
      </c>
      <c r="D27" t="s">
        <v>42</v>
      </c>
      <c r="E27">
        <v>2017</v>
      </c>
      <c r="F27" t="s">
        <v>29</v>
      </c>
      <c r="G27" t="s">
        <v>24</v>
      </c>
      <c r="H27" t="s">
        <v>30</v>
      </c>
      <c r="I27">
        <v>134.237143171133</v>
      </c>
      <c r="J27">
        <v>594.88045628006103</v>
      </c>
      <c r="K27">
        <v>0.56202457074323198</v>
      </c>
      <c r="L27">
        <v>4431.5637403103801</v>
      </c>
      <c r="M27">
        <v>0</v>
      </c>
      <c r="N27">
        <v>0</v>
      </c>
      <c r="O27">
        <v>0</v>
      </c>
    </row>
    <row r="28" spans="1:15" x14ac:dyDescent="0.35">
      <c r="A28" t="s">
        <v>58</v>
      </c>
      <c r="B28" t="s">
        <v>33</v>
      </c>
      <c r="C28">
        <v>2030</v>
      </c>
      <c r="D28" t="s">
        <v>42</v>
      </c>
      <c r="E28">
        <v>2017</v>
      </c>
      <c r="F28" t="s">
        <v>29</v>
      </c>
      <c r="G28" t="s">
        <v>24</v>
      </c>
      <c r="H28" t="s">
        <v>30</v>
      </c>
      <c r="I28">
        <v>924.91017251162805</v>
      </c>
      <c r="J28">
        <v>16.698241997130101</v>
      </c>
      <c r="K28">
        <v>2.2896520912753398E-3</v>
      </c>
      <c r="L28">
        <v>18.053906739706001</v>
      </c>
      <c r="M28">
        <v>0</v>
      </c>
      <c r="N28">
        <v>0</v>
      </c>
      <c r="O28">
        <v>0</v>
      </c>
    </row>
    <row r="29" spans="1:15" x14ac:dyDescent="0.35">
      <c r="A29" t="s">
        <v>58</v>
      </c>
      <c r="B29" t="s">
        <v>34</v>
      </c>
      <c r="C29">
        <v>2030</v>
      </c>
      <c r="D29" t="s">
        <v>42</v>
      </c>
      <c r="E29">
        <v>2017</v>
      </c>
      <c r="F29" t="s">
        <v>29</v>
      </c>
      <c r="G29" t="s">
        <v>24</v>
      </c>
      <c r="H29" t="s">
        <v>30</v>
      </c>
      <c r="I29">
        <v>940.27188626332304</v>
      </c>
      <c r="J29">
        <v>16.6835506740418</v>
      </c>
      <c r="K29">
        <v>2.2502632938135999E-3</v>
      </c>
      <c r="L29">
        <v>17.743326071720201</v>
      </c>
      <c r="M29">
        <v>0</v>
      </c>
      <c r="N29">
        <v>0</v>
      </c>
      <c r="O29">
        <v>0</v>
      </c>
    </row>
    <row r="30" spans="1:15" x14ac:dyDescent="0.35">
      <c r="A30" t="s">
        <v>58</v>
      </c>
      <c r="B30" t="s">
        <v>35</v>
      </c>
      <c r="C30">
        <v>2030</v>
      </c>
      <c r="D30" t="s">
        <v>42</v>
      </c>
      <c r="E30">
        <v>2017</v>
      </c>
      <c r="F30" t="s">
        <v>29</v>
      </c>
      <c r="G30" t="s">
        <v>24</v>
      </c>
      <c r="H30" t="s">
        <v>30</v>
      </c>
      <c r="I30">
        <v>163.236923202496</v>
      </c>
      <c r="J30">
        <v>694.90388314107201</v>
      </c>
      <c r="K30">
        <v>0.53988920083986203</v>
      </c>
      <c r="L30">
        <v>4257.0263486223103</v>
      </c>
      <c r="M30">
        <v>0.163236923202496</v>
      </c>
      <c r="N30" s="10">
        <v>2.0610722626577199E-5</v>
      </c>
      <c r="O30">
        <v>0</v>
      </c>
    </row>
    <row r="31" spans="1:15" x14ac:dyDescent="0.35">
      <c r="A31" t="s">
        <v>58</v>
      </c>
      <c r="B31" t="s">
        <v>54</v>
      </c>
      <c r="C31">
        <v>2030</v>
      </c>
      <c r="D31" t="s">
        <v>42</v>
      </c>
      <c r="E31">
        <v>2017</v>
      </c>
      <c r="F31" t="s">
        <v>29</v>
      </c>
      <c r="G31" t="s">
        <v>24</v>
      </c>
      <c r="H31" t="s">
        <v>30</v>
      </c>
      <c r="I31">
        <v>0</v>
      </c>
      <c r="J31">
        <v>0</v>
      </c>
      <c r="K31" t="s">
        <v>18</v>
      </c>
      <c r="L31" t="s">
        <v>18</v>
      </c>
      <c r="M31">
        <v>0</v>
      </c>
      <c r="N31">
        <v>0</v>
      </c>
      <c r="O31">
        <v>0</v>
      </c>
    </row>
    <row r="32" spans="1:15" x14ac:dyDescent="0.35">
      <c r="A32" t="s">
        <v>58</v>
      </c>
      <c r="B32" t="s">
        <v>55</v>
      </c>
      <c r="C32">
        <v>2030</v>
      </c>
      <c r="D32" t="s">
        <v>42</v>
      </c>
      <c r="E32">
        <v>2017</v>
      </c>
      <c r="F32" t="s">
        <v>29</v>
      </c>
      <c r="G32" t="s">
        <v>24</v>
      </c>
      <c r="H32" t="s">
        <v>30</v>
      </c>
      <c r="I32">
        <v>955.59983846333398</v>
      </c>
      <c r="J32">
        <v>4046.7875743221398</v>
      </c>
      <c r="K32">
        <v>0.53707216233352595</v>
      </c>
      <c r="L32">
        <v>4234.8139999998502</v>
      </c>
      <c r="M32">
        <v>164.324948222155</v>
      </c>
      <c r="N32">
        <v>2.07480995229988E-2</v>
      </c>
      <c r="O32">
        <v>0</v>
      </c>
    </row>
    <row r="33" spans="1:15" x14ac:dyDescent="0.35">
      <c r="A33" t="s">
        <v>58</v>
      </c>
      <c r="B33" t="s">
        <v>56</v>
      </c>
      <c r="C33">
        <v>2030</v>
      </c>
      <c r="D33" t="s">
        <v>42</v>
      </c>
      <c r="E33">
        <v>2017</v>
      </c>
      <c r="F33" t="s">
        <v>29</v>
      </c>
      <c r="G33" t="s">
        <v>24</v>
      </c>
      <c r="H33" t="s">
        <v>30</v>
      </c>
      <c r="I33">
        <v>0</v>
      </c>
      <c r="J33">
        <v>0</v>
      </c>
      <c r="K33" t="s">
        <v>18</v>
      </c>
      <c r="L33" t="s">
        <v>18</v>
      </c>
      <c r="M33">
        <v>0</v>
      </c>
      <c r="N33">
        <v>0</v>
      </c>
      <c r="O33">
        <v>0</v>
      </c>
    </row>
    <row r="34" spans="1:15" x14ac:dyDescent="0.35">
      <c r="A34" t="s">
        <v>58</v>
      </c>
      <c r="B34" t="s">
        <v>57</v>
      </c>
      <c r="C34">
        <v>2030</v>
      </c>
      <c r="D34" t="s">
        <v>42</v>
      </c>
      <c r="E34">
        <v>2017</v>
      </c>
      <c r="F34" t="s">
        <v>29</v>
      </c>
      <c r="G34" t="s">
        <v>24</v>
      </c>
      <c r="H34" t="s">
        <v>30</v>
      </c>
      <c r="I34">
        <v>0</v>
      </c>
      <c r="J34">
        <v>0</v>
      </c>
      <c r="K34" t="s">
        <v>18</v>
      </c>
      <c r="L34" t="s">
        <v>18</v>
      </c>
      <c r="M34">
        <v>0</v>
      </c>
      <c r="N34">
        <v>0</v>
      </c>
      <c r="O34">
        <v>0</v>
      </c>
    </row>
    <row r="35" spans="1:15" x14ac:dyDescent="0.35">
      <c r="A35" t="s">
        <v>58</v>
      </c>
      <c r="B35" t="s">
        <v>11</v>
      </c>
      <c r="C35">
        <v>2030</v>
      </c>
      <c r="D35" t="s">
        <v>42</v>
      </c>
      <c r="E35">
        <v>2017</v>
      </c>
      <c r="F35" t="s">
        <v>29</v>
      </c>
      <c r="G35" t="s">
        <v>24</v>
      </c>
      <c r="H35" t="s">
        <v>30</v>
      </c>
      <c r="I35">
        <v>0</v>
      </c>
      <c r="J35">
        <v>0</v>
      </c>
      <c r="K35" t="s">
        <v>18</v>
      </c>
      <c r="L35" t="s">
        <v>18</v>
      </c>
      <c r="M35">
        <v>0</v>
      </c>
      <c r="N35">
        <v>0</v>
      </c>
      <c r="O35">
        <v>0</v>
      </c>
    </row>
    <row r="36" spans="1:15" x14ac:dyDescent="0.35">
      <c r="A36" t="s">
        <v>58</v>
      </c>
      <c r="B36" t="s">
        <v>12</v>
      </c>
      <c r="C36">
        <v>2030</v>
      </c>
      <c r="D36" t="s">
        <v>42</v>
      </c>
      <c r="E36">
        <v>2017</v>
      </c>
      <c r="F36" t="s">
        <v>29</v>
      </c>
      <c r="G36" t="s">
        <v>24</v>
      </c>
      <c r="H36" t="s">
        <v>30</v>
      </c>
      <c r="I36">
        <v>490.01599368022801</v>
      </c>
      <c r="J36">
        <v>19.661605116565902</v>
      </c>
      <c r="K36">
        <v>5.0887019733934797E-3</v>
      </c>
      <c r="L36">
        <v>40.124415060207603</v>
      </c>
      <c r="M36">
        <v>0</v>
      </c>
      <c r="N36">
        <v>0</v>
      </c>
      <c r="O36">
        <v>0</v>
      </c>
    </row>
    <row r="37" spans="1:15" x14ac:dyDescent="0.35">
      <c r="A37" t="s">
        <v>58</v>
      </c>
      <c r="B37" t="s">
        <v>13</v>
      </c>
      <c r="C37">
        <v>2030</v>
      </c>
      <c r="D37" t="s">
        <v>42</v>
      </c>
      <c r="E37">
        <v>2017</v>
      </c>
      <c r="F37" t="s">
        <v>29</v>
      </c>
      <c r="G37" t="s">
        <v>24</v>
      </c>
      <c r="H37" t="s">
        <v>30</v>
      </c>
      <c r="I37">
        <v>0</v>
      </c>
      <c r="J37">
        <v>0</v>
      </c>
      <c r="K37" t="s">
        <v>18</v>
      </c>
      <c r="L37" t="s">
        <v>18</v>
      </c>
      <c r="M37">
        <v>0</v>
      </c>
      <c r="N37">
        <v>0</v>
      </c>
      <c r="O37">
        <v>0</v>
      </c>
    </row>
    <row r="38" spans="1:15" x14ac:dyDescent="0.35">
      <c r="A38" t="s">
        <v>58</v>
      </c>
      <c r="B38" t="s">
        <v>14</v>
      </c>
      <c r="C38">
        <v>2030</v>
      </c>
      <c r="D38" t="s">
        <v>42</v>
      </c>
      <c r="E38">
        <v>2017</v>
      </c>
      <c r="F38" t="s">
        <v>29</v>
      </c>
      <c r="G38" t="s">
        <v>24</v>
      </c>
      <c r="H38" t="s">
        <v>30</v>
      </c>
      <c r="I38">
        <v>0</v>
      </c>
      <c r="J38">
        <v>0</v>
      </c>
      <c r="K38" t="s">
        <v>18</v>
      </c>
      <c r="L38" t="s">
        <v>18</v>
      </c>
      <c r="M38">
        <v>0</v>
      </c>
      <c r="N38">
        <v>0</v>
      </c>
      <c r="O38">
        <v>0</v>
      </c>
    </row>
    <row r="39" spans="1:15" x14ac:dyDescent="0.35">
      <c r="A39" t="s">
        <v>58</v>
      </c>
      <c r="B39" t="s">
        <v>4</v>
      </c>
      <c r="C39">
        <v>2030</v>
      </c>
      <c r="D39" t="s">
        <v>42</v>
      </c>
      <c r="E39">
        <v>2017</v>
      </c>
      <c r="F39" t="s">
        <v>29</v>
      </c>
      <c r="G39" t="s">
        <v>24</v>
      </c>
      <c r="H39" t="s">
        <v>30</v>
      </c>
      <c r="I39">
        <v>0</v>
      </c>
      <c r="J39">
        <v>0</v>
      </c>
      <c r="K39" t="s">
        <v>18</v>
      </c>
      <c r="L39" t="s">
        <v>18</v>
      </c>
      <c r="M39">
        <v>0</v>
      </c>
      <c r="N39">
        <v>0</v>
      </c>
      <c r="O39">
        <v>0</v>
      </c>
    </row>
    <row r="40" spans="1:15" x14ac:dyDescent="0.35">
      <c r="A40" t="s">
        <v>58</v>
      </c>
      <c r="B40" t="s">
        <v>28</v>
      </c>
      <c r="C40">
        <v>2030</v>
      </c>
      <c r="D40" t="s">
        <v>42</v>
      </c>
      <c r="E40">
        <v>2018</v>
      </c>
      <c r="F40" t="s">
        <v>29</v>
      </c>
      <c r="G40" t="s">
        <v>24</v>
      </c>
      <c r="H40" t="s">
        <v>30</v>
      </c>
      <c r="I40">
        <v>94.543189332053501</v>
      </c>
      <c r="J40">
        <v>425.80645161289402</v>
      </c>
      <c r="K40">
        <v>0.57118959943882097</v>
      </c>
      <c r="L40">
        <v>4503.8299915751004</v>
      </c>
      <c r="M40">
        <v>0</v>
      </c>
      <c r="N40">
        <v>0</v>
      </c>
      <c r="O40">
        <v>2.41652450807152E-2</v>
      </c>
    </row>
    <row r="41" spans="1:15" x14ac:dyDescent="0.35">
      <c r="A41" t="s">
        <v>58</v>
      </c>
      <c r="B41" t="s">
        <v>53</v>
      </c>
      <c r="C41">
        <v>2030</v>
      </c>
      <c r="D41" t="s">
        <v>42</v>
      </c>
      <c r="E41">
        <v>2018</v>
      </c>
      <c r="F41" t="s">
        <v>29</v>
      </c>
      <c r="G41" t="s">
        <v>24</v>
      </c>
      <c r="H41" t="s">
        <v>30</v>
      </c>
      <c r="I41">
        <v>223.07407492446501</v>
      </c>
      <c r="J41">
        <v>862.49200917539201</v>
      </c>
      <c r="K41">
        <v>0.490347857182866</v>
      </c>
      <c r="L41">
        <v>3866.3928538869</v>
      </c>
      <c r="M41">
        <v>0</v>
      </c>
      <c r="N41">
        <v>0</v>
      </c>
      <c r="O41">
        <v>0</v>
      </c>
    </row>
    <row r="42" spans="1:15" x14ac:dyDescent="0.35">
      <c r="A42" t="s">
        <v>58</v>
      </c>
      <c r="B42" t="s">
        <v>25</v>
      </c>
      <c r="C42">
        <v>2030</v>
      </c>
      <c r="D42" t="s">
        <v>42</v>
      </c>
      <c r="E42">
        <v>2018</v>
      </c>
      <c r="F42" t="s">
        <v>29</v>
      </c>
      <c r="G42" t="s">
        <v>24</v>
      </c>
      <c r="H42" t="s">
        <v>30</v>
      </c>
      <c r="I42">
        <v>19.828806659952502</v>
      </c>
      <c r="J42">
        <v>76.665956371144702</v>
      </c>
      <c r="K42">
        <v>0.490347857182866</v>
      </c>
      <c r="L42">
        <v>3866.3928538869</v>
      </c>
      <c r="M42">
        <v>9.3790255501575402E-3</v>
      </c>
      <c r="N42" s="10">
        <v>1.1842203977471801E-6</v>
      </c>
      <c r="O42">
        <v>0</v>
      </c>
    </row>
    <row r="43" spans="1:15" x14ac:dyDescent="0.35">
      <c r="A43" t="s">
        <v>58</v>
      </c>
      <c r="B43" t="s">
        <v>31</v>
      </c>
      <c r="C43">
        <v>2030</v>
      </c>
      <c r="D43" t="s">
        <v>42</v>
      </c>
      <c r="E43">
        <v>2018</v>
      </c>
      <c r="F43" t="s">
        <v>29</v>
      </c>
      <c r="G43" t="s">
        <v>24</v>
      </c>
      <c r="H43" t="s">
        <v>30</v>
      </c>
      <c r="I43">
        <v>17.017774079769602</v>
      </c>
      <c r="J43">
        <v>76.645161290316594</v>
      </c>
      <c r="K43">
        <v>0.57118959943882097</v>
      </c>
      <c r="L43">
        <v>4503.8299915751004</v>
      </c>
      <c r="M43">
        <v>0</v>
      </c>
      <c r="N43">
        <v>0</v>
      </c>
      <c r="O43">
        <v>0</v>
      </c>
    </row>
    <row r="44" spans="1:15" x14ac:dyDescent="0.35">
      <c r="A44" t="s">
        <v>58</v>
      </c>
      <c r="B44" t="s">
        <v>8</v>
      </c>
      <c r="C44">
        <v>2030</v>
      </c>
      <c r="D44" t="s">
        <v>42</v>
      </c>
      <c r="E44">
        <v>2018</v>
      </c>
      <c r="F44" t="s">
        <v>29</v>
      </c>
      <c r="G44" t="s">
        <v>24</v>
      </c>
      <c r="H44" t="s">
        <v>30</v>
      </c>
      <c r="I44">
        <v>0</v>
      </c>
      <c r="J44">
        <v>0</v>
      </c>
      <c r="K44" t="s">
        <v>18</v>
      </c>
      <c r="L44" t="s">
        <v>18</v>
      </c>
      <c r="M44">
        <v>0</v>
      </c>
      <c r="N44">
        <v>0</v>
      </c>
      <c r="O44">
        <v>0</v>
      </c>
    </row>
    <row r="45" spans="1:15" x14ac:dyDescent="0.35">
      <c r="A45" t="s">
        <v>58</v>
      </c>
      <c r="B45" t="s">
        <v>9</v>
      </c>
      <c r="C45">
        <v>2030</v>
      </c>
      <c r="D45" t="s">
        <v>42</v>
      </c>
      <c r="E45">
        <v>2018</v>
      </c>
      <c r="F45" t="s">
        <v>29</v>
      </c>
      <c r="G45" t="s">
        <v>24</v>
      </c>
      <c r="H45" t="s">
        <v>30</v>
      </c>
      <c r="I45">
        <v>112.54830660189</v>
      </c>
      <c r="J45">
        <v>435.15596836261398</v>
      </c>
      <c r="K45">
        <v>0.490347857182866</v>
      </c>
      <c r="L45">
        <v>3866.3928538869</v>
      </c>
      <c r="M45">
        <v>0</v>
      </c>
      <c r="N45">
        <v>0</v>
      </c>
      <c r="O45">
        <v>0</v>
      </c>
    </row>
    <row r="46" spans="1:15" x14ac:dyDescent="0.35">
      <c r="A46" t="s">
        <v>58</v>
      </c>
      <c r="B46" t="s">
        <v>10</v>
      </c>
      <c r="C46">
        <v>2030</v>
      </c>
      <c r="D46" t="s">
        <v>42</v>
      </c>
      <c r="E46">
        <v>2018</v>
      </c>
      <c r="F46" t="s">
        <v>29</v>
      </c>
      <c r="G46" t="s">
        <v>24</v>
      </c>
      <c r="H46" t="s">
        <v>30</v>
      </c>
      <c r="I46">
        <v>153.87153968123101</v>
      </c>
      <c r="J46">
        <v>594.927821440098</v>
      </c>
      <c r="K46">
        <v>0.490347857182866</v>
      </c>
      <c r="L46">
        <v>3866.3928538869</v>
      </c>
      <c r="M46">
        <v>0</v>
      </c>
      <c r="N46">
        <v>0</v>
      </c>
      <c r="O46">
        <v>0</v>
      </c>
    </row>
    <row r="47" spans="1:15" x14ac:dyDescent="0.35">
      <c r="A47" t="s">
        <v>58</v>
      </c>
      <c r="B47" t="s">
        <v>33</v>
      </c>
      <c r="C47">
        <v>2030</v>
      </c>
      <c r="D47" t="s">
        <v>42</v>
      </c>
      <c r="E47">
        <v>2018</v>
      </c>
      <c r="F47" t="s">
        <v>29</v>
      </c>
      <c r="G47" t="s">
        <v>24</v>
      </c>
      <c r="H47" t="s">
        <v>30</v>
      </c>
      <c r="I47">
        <v>1078.15121035788</v>
      </c>
      <c r="J47">
        <v>11.0828306035799</v>
      </c>
      <c r="K47">
        <v>1.3036749564624001E-3</v>
      </c>
      <c r="L47">
        <v>10.279477031706</v>
      </c>
      <c r="M47">
        <v>0</v>
      </c>
      <c r="N47">
        <v>0</v>
      </c>
      <c r="O47">
        <v>0</v>
      </c>
    </row>
    <row r="48" spans="1:15" x14ac:dyDescent="0.35">
      <c r="A48" t="s">
        <v>58</v>
      </c>
      <c r="B48" t="s">
        <v>34</v>
      </c>
      <c r="C48">
        <v>2030</v>
      </c>
      <c r="D48" t="s">
        <v>42</v>
      </c>
      <c r="E48">
        <v>2018</v>
      </c>
      <c r="F48" t="s">
        <v>29</v>
      </c>
      <c r="G48" t="s">
        <v>24</v>
      </c>
      <c r="H48" t="s">
        <v>30</v>
      </c>
      <c r="I48">
        <v>1095.1689844376499</v>
      </c>
      <c r="J48">
        <v>11.0620355227506</v>
      </c>
      <c r="K48">
        <v>1.2810091008069401E-3</v>
      </c>
      <c r="L48">
        <v>10.100756759862699</v>
      </c>
      <c r="M48">
        <v>0</v>
      </c>
      <c r="N48">
        <v>0</v>
      </c>
      <c r="O48">
        <v>0</v>
      </c>
    </row>
    <row r="49" spans="1:15" x14ac:dyDescent="0.35">
      <c r="A49" t="s">
        <v>58</v>
      </c>
      <c r="B49" t="s">
        <v>35</v>
      </c>
      <c r="C49">
        <v>2030</v>
      </c>
      <c r="D49" t="s">
        <v>42</v>
      </c>
      <c r="E49">
        <v>2018</v>
      </c>
      <c r="F49" t="s">
        <v>29</v>
      </c>
      <c r="G49" t="s">
        <v>24</v>
      </c>
      <c r="H49" t="s">
        <v>30</v>
      </c>
      <c r="I49">
        <v>231.056453662244</v>
      </c>
      <c r="J49">
        <v>998.17609508994099</v>
      </c>
      <c r="K49">
        <v>0.54788241813981697</v>
      </c>
      <c r="L49">
        <v>4320.0528670324502</v>
      </c>
      <c r="M49">
        <v>0.231056453662244</v>
      </c>
      <c r="N49" s="10">
        <v>2.9173794654324301E-5</v>
      </c>
      <c r="O49">
        <v>0</v>
      </c>
    </row>
    <row r="50" spans="1:15" x14ac:dyDescent="0.35">
      <c r="A50" t="s">
        <v>58</v>
      </c>
      <c r="B50" t="s">
        <v>54</v>
      </c>
      <c r="C50">
        <v>2030</v>
      </c>
      <c r="D50" t="s">
        <v>42</v>
      </c>
      <c r="E50">
        <v>2018</v>
      </c>
      <c r="F50" t="s">
        <v>29</v>
      </c>
      <c r="G50" t="s">
        <v>24</v>
      </c>
      <c r="H50" t="s">
        <v>30</v>
      </c>
      <c r="I50">
        <v>0</v>
      </c>
      <c r="J50">
        <v>0</v>
      </c>
      <c r="K50" t="s">
        <v>18</v>
      </c>
      <c r="L50" t="s">
        <v>18</v>
      </c>
      <c r="M50">
        <v>0</v>
      </c>
      <c r="N50">
        <v>0</v>
      </c>
      <c r="O50">
        <v>0</v>
      </c>
    </row>
    <row r="51" spans="1:15" x14ac:dyDescent="0.35">
      <c r="A51" t="s">
        <v>58</v>
      </c>
      <c r="B51" t="s">
        <v>55</v>
      </c>
      <c r="C51">
        <v>2030</v>
      </c>
      <c r="D51" t="s">
        <v>42</v>
      </c>
      <c r="E51">
        <v>2018</v>
      </c>
      <c r="F51" t="s">
        <v>29</v>
      </c>
      <c r="G51" t="s">
        <v>24</v>
      </c>
      <c r="H51" t="s">
        <v>30</v>
      </c>
      <c r="I51">
        <v>1111.5858662482401</v>
      </c>
      <c r="J51">
        <v>4062.5628867415599</v>
      </c>
      <c r="K51">
        <v>0.46350602409637298</v>
      </c>
      <c r="L51">
        <v>3654.7449999998998</v>
      </c>
      <c r="M51">
        <v>191.14830556004799</v>
      </c>
      <c r="N51">
        <v>2.4134887065663101E-2</v>
      </c>
      <c r="O51">
        <v>0</v>
      </c>
    </row>
    <row r="52" spans="1:15" x14ac:dyDescent="0.35">
      <c r="A52" t="s">
        <v>58</v>
      </c>
      <c r="B52" t="s">
        <v>56</v>
      </c>
      <c r="C52">
        <v>2030</v>
      </c>
      <c r="D52" t="s">
        <v>42</v>
      </c>
      <c r="E52">
        <v>2018</v>
      </c>
      <c r="F52" t="s">
        <v>29</v>
      </c>
      <c r="G52" t="s">
        <v>24</v>
      </c>
      <c r="H52" t="s">
        <v>30</v>
      </c>
      <c r="I52">
        <v>0</v>
      </c>
      <c r="J52">
        <v>0</v>
      </c>
      <c r="K52" t="s">
        <v>18</v>
      </c>
      <c r="L52" t="s">
        <v>18</v>
      </c>
      <c r="M52">
        <v>0</v>
      </c>
      <c r="N52">
        <v>0</v>
      </c>
      <c r="O52">
        <v>0</v>
      </c>
    </row>
    <row r="53" spans="1:15" x14ac:dyDescent="0.35">
      <c r="A53" t="s">
        <v>58</v>
      </c>
      <c r="B53" t="s">
        <v>57</v>
      </c>
      <c r="C53">
        <v>2030</v>
      </c>
      <c r="D53" t="s">
        <v>42</v>
      </c>
      <c r="E53">
        <v>2018</v>
      </c>
      <c r="F53" t="s">
        <v>29</v>
      </c>
      <c r="G53" t="s">
        <v>24</v>
      </c>
      <c r="H53" t="s">
        <v>30</v>
      </c>
      <c r="I53">
        <v>0</v>
      </c>
      <c r="J53">
        <v>0</v>
      </c>
      <c r="K53" t="s">
        <v>18</v>
      </c>
      <c r="L53" t="s">
        <v>18</v>
      </c>
      <c r="M53">
        <v>0</v>
      </c>
      <c r="N53">
        <v>0</v>
      </c>
      <c r="O53">
        <v>0</v>
      </c>
    </row>
    <row r="54" spans="1:15" x14ac:dyDescent="0.35">
      <c r="A54" t="s">
        <v>58</v>
      </c>
      <c r="B54" t="s">
        <v>11</v>
      </c>
      <c r="C54">
        <v>2030</v>
      </c>
      <c r="D54" t="s">
        <v>42</v>
      </c>
      <c r="E54">
        <v>2018</v>
      </c>
      <c r="F54" t="s">
        <v>29</v>
      </c>
      <c r="G54" t="s">
        <v>24</v>
      </c>
      <c r="H54" t="s">
        <v>30</v>
      </c>
      <c r="I54">
        <v>0</v>
      </c>
      <c r="J54">
        <v>0</v>
      </c>
      <c r="K54" t="s">
        <v>18</v>
      </c>
      <c r="L54" t="s">
        <v>18</v>
      </c>
      <c r="M54">
        <v>0</v>
      </c>
      <c r="N54">
        <v>0</v>
      </c>
      <c r="O54">
        <v>0</v>
      </c>
    </row>
    <row r="55" spans="1:15" x14ac:dyDescent="0.35">
      <c r="A55" t="s">
        <v>58</v>
      </c>
      <c r="B55" t="s">
        <v>12</v>
      </c>
      <c r="C55">
        <v>2030</v>
      </c>
      <c r="D55" t="s">
        <v>42</v>
      </c>
      <c r="E55">
        <v>2018</v>
      </c>
      <c r="F55" t="s">
        <v>29</v>
      </c>
      <c r="G55" t="s">
        <v>24</v>
      </c>
      <c r="H55" t="s">
        <v>30</v>
      </c>
      <c r="I55">
        <v>445.63532923673699</v>
      </c>
      <c r="J55">
        <v>40.411265441996498</v>
      </c>
      <c r="K55">
        <v>1.1500616954238501E-2</v>
      </c>
      <c r="L55">
        <v>90.682364684171105</v>
      </c>
      <c r="M55">
        <v>0</v>
      </c>
      <c r="N55">
        <v>0</v>
      </c>
      <c r="O55">
        <v>0</v>
      </c>
    </row>
    <row r="56" spans="1:15" x14ac:dyDescent="0.35">
      <c r="A56" t="s">
        <v>58</v>
      </c>
      <c r="B56" t="s">
        <v>13</v>
      </c>
      <c r="C56">
        <v>2030</v>
      </c>
      <c r="D56" t="s">
        <v>42</v>
      </c>
      <c r="E56">
        <v>2018</v>
      </c>
      <c r="F56" t="s">
        <v>29</v>
      </c>
      <c r="G56" t="s">
        <v>24</v>
      </c>
      <c r="H56" t="s">
        <v>30</v>
      </c>
      <c r="I56">
        <v>0</v>
      </c>
      <c r="J56">
        <v>0</v>
      </c>
      <c r="K56" t="s">
        <v>18</v>
      </c>
      <c r="L56" t="s">
        <v>18</v>
      </c>
      <c r="M56">
        <v>0</v>
      </c>
      <c r="N56">
        <v>0</v>
      </c>
      <c r="O56">
        <v>0</v>
      </c>
    </row>
    <row r="57" spans="1:15" x14ac:dyDescent="0.35">
      <c r="A57" t="s">
        <v>58</v>
      </c>
      <c r="B57" t="s">
        <v>14</v>
      </c>
      <c r="C57">
        <v>2030</v>
      </c>
      <c r="D57" t="s">
        <v>42</v>
      </c>
      <c r="E57">
        <v>2018</v>
      </c>
      <c r="F57" t="s">
        <v>29</v>
      </c>
      <c r="G57" t="s">
        <v>24</v>
      </c>
      <c r="H57" t="s">
        <v>30</v>
      </c>
      <c r="I57">
        <v>0</v>
      </c>
      <c r="J57">
        <v>0</v>
      </c>
      <c r="K57" t="s">
        <v>18</v>
      </c>
      <c r="L57" t="s">
        <v>18</v>
      </c>
      <c r="M57">
        <v>0</v>
      </c>
      <c r="N57">
        <v>0</v>
      </c>
      <c r="O57">
        <v>0</v>
      </c>
    </row>
    <row r="58" spans="1:15" x14ac:dyDescent="0.35">
      <c r="A58" t="s">
        <v>58</v>
      </c>
      <c r="B58" t="s">
        <v>4</v>
      </c>
      <c r="C58">
        <v>2030</v>
      </c>
      <c r="D58" t="s">
        <v>42</v>
      </c>
      <c r="E58">
        <v>2018</v>
      </c>
      <c r="F58" t="s">
        <v>29</v>
      </c>
      <c r="G58" t="s">
        <v>24</v>
      </c>
      <c r="H58" t="s">
        <v>30</v>
      </c>
      <c r="I58">
        <v>0</v>
      </c>
      <c r="J58">
        <v>0</v>
      </c>
      <c r="K58" t="s">
        <v>18</v>
      </c>
      <c r="L58" t="s">
        <v>18</v>
      </c>
      <c r="M58">
        <v>0</v>
      </c>
      <c r="N58">
        <v>0</v>
      </c>
      <c r="O58">
        <v>0</v>
      </c>
    </row>
    <row r="59" spans="1:15" x14ac:dyDescent="0.35">
      <c r="A59" t="s">
        <v>58</v>
      </c>
      <c r="B59" t="s">
        <v>28</v>
      </c>
      <c r="C59">
        <v>2030</v>
      </c>
      <c r="D59" t="s">
        <v>42</v>
      </c>
      <c r="E59">
        <v>2019</v>
      </c>
      <c r="F59" t="s">
        <v>29</v>
      </c>
      <c r="G59" t="s">
        <v>24</v>
      </c>
      <c r="H59" t="s">
        <v>30</v>
      </c>
      <c r="I59">
        <v>84.863295535122504</v>
      </c>
      <c r="J59">
        <v>425.80645161290403</v>
      </c>
      <c r="K59">
        <v>0.63634208527638703</v>
      </c>
      <c r="L59">
        <v>5017.5573424043096</v>
      </c>
      <c r="M59">
        <v>0</v>
      </c>
      <c r="N59">
        <v>0</v>
      </c>
      <c r="O59">
        <v>2.1244229789699899E-2</v>
      </c>
    </row>
    <row r="60" spans="1:15" x14ac:dyDescent="0.35">
      <c r="A60" t="s">
        <v>58</v>
      </c>
      <c r="B60" t="s">
        <v>53</v>
      </c>
      <c r="C60">
        <v>2030</v>
      </c>
      <c r="D60" t="s">
        <v>42</v>
      </c>
      <c r="E60">
        <v>2019</v>
      </c>
      <c r="F60" t="s">
        <v>29</v>
      </c>
      <c r="G60" t="s">
        <v>24</v>
      </c>
      <c r="H60" t="s">
        <v>30</v>
      </c>
      <c r="I60">
        <v>196.36014127335099</v>
      </c>
      <c r="J60">
        <v>862.41633809203495</v>
      </c>
      <c r="K60">
        <v>0.55700865299341196</v>
      </c>
      <c r="L60">
        <v>4392.0132288530504</v>
      </c>
      <c r="M60">
        <v>0</v>
      </c>
      <c r="N60">
        <v>0</v>
      </c>
      <c r="O60">
        <v>0</v>
      </c>
    </row>
    <row r="61" spans="1:15" x14ac:dyDescent="0.35">
      <c r="A61" t="s">
        <v>58</v>
      </c>
      <c r="B61" t="s">
        <v>25</v>
      </c>
      <c r="C61">
        <v>2030</v>
      </c>
      <c r="D61" t="s">
        <v>42</v>
      </c>
      <c r="E61">
        <v>2019</v>
      </c>
      <c r="F61" t="s">
        <v>29</v>
      </c>
      <c r="G61" t="s">
        <v>24</v>
      </c>
      <c r="H61" t="s">
        <v>30</v>
      </c>
      <c r="I61">
        <v>17.454234779853401</v>
      </c>
      <c r="J61">
        <v>76.659230052625404</v>
      </c>
      <c r="K61">
        <v>0.55700865299341196</v>
      </c>
      <c r="L61">
        <v>4392.0132288530504</v>
      </c>
      <c r="M61">
        <v>8.2558530508706901E-3</v>
      </c>
      <c r="N61" s="10">
        <v>1.0424056882412399E-6</v>
      </c>
      <c r="O61">
        <v>0</v>
      </c>
    </row>
    <row r="62" spans="1:15" x14ac:dyDescent="0.35">
      <c r="A62" t="s">
        <v>58</v>
      </c>
      <c r="B62" t="s">
        <v>31</v>
      </c>
      <c r="C62">
        <v>2030</v>
      </c>
      <c r="D62" t="s">
        <v>42</v>
      </c>
      <c r="E62">
        <v>2019</v>
      </c>
      <c r="F62" t="s">
        <v>29</v>
      </c>
      <c r="G62" t="s">
        <v>24</v>
      </c>
      <c r="H62" t="s">
        <v>30</v>
      </c>
      <c r="I62">
        <v>15.275393196322</v>
      </c>
      <c r="J62">
        <v>76.645161290322093</v>
      </c>
      <c r="K62">
        <v>0.63634208527638703</v>
      </c>
      <c r="L62">
        <v>5017.5573424043096</v>
      </c>
      <c r="M62">
        <v>0</v>
      </c>
      <c r="N62">
        <v>0</v>
      </c>
      <c r="O62">
        <v>0</v>
      </c>
    </row>
    <row r="63" spans="1:15" x14ac:dyDescent="0.35">
      <c r="A63" t="s">
        <v>58</v>
      </c>
      <c r="B63" t="s">
        <v>8</v>
      </c>
      <c r="C63">
        <v>2030</v>
      </c>
      <c r="D63" t="s">
        <v>42</v>
      </c>
      <c r="E63">
        <v>2019</v>
      </c>
      <c r="F63" t="s">
        <v>29</v>
      </c>
      <c r="G63" t="s">
        <v>24</v>
      </c>
      <c r="H63" t="s">
        <v>30</v>
      </c>
      <c r="I63">
        <v>0</v>
      </c>
      <c r="J63">
        <v>0</v>
      </c>
      <c r="K63" t="s">
        <v>18</v>
      </c>
      <c r="L63" t="s">
        <v>18</v>
      </c>
      <c r="M63">
        <v>0</v>
      </c>
      <c r="N63">
        <v>0</v>
      </c>
      <c r="O63">
        <v>0</v>
      </c>
    </row>
    <row r="64" spans="1:15" x14ac:dyDescent="0.35">
      <c r="A64" t="s">
        <v>58</v>
      </c>
      <c r="B64" t="s">
        <v>9</v>
      </c>
      <c r="C64">
        <v>2030</v>
      </c>
      <c r="D64" t="s">
        <v>42</v>
      </c>
      <c r="E64">
        <v>2019</v>
      </c>
      <c r="F64" t="s">
        <v>29</v>
      </c>
      <c r="G64" t="s">
        <v>24</v>
      </c>
      <c r="H64" t="s">
        <v>30</v>
      </c>
      <c r="I64">
        <v>99.070236610448305</v>
      </c>
      <c r="J64">
        <v>435.117789778705</v>
      </c>
      <c r="K64">
        <v>0.55700865299341196</v>
      </c>
      <c r="L64">
        <v>4392.0132288530504</v>
      </c>
      <c r="M64">
        <v>0</v>
      </c>
      <c r="N64">
        <v>0</v>
      </c>
      <c r="O64">
        <v>0</v>
      </c>
    </row>
    <row r="65" spans="1:15" x14ac:dyDescent="0.35">
      <c r="A65" t="s">
        <v>58</v>
      </c>
      <c r="B65" t="s">
        <v>10</v>
      </c>
      <c r="C65">
        <v>2030</v>
      </c>
      <c r="D65" t="s">
        <v>42</v>
      </c>
      <c r="E65">
        <v>2019</v>
      </c>
      <c r="F65" t="s">
        <v>29</v>
      </c>
      <c r="G65" t="s">
        <v>24</v>
      </c>
      <c r="H65" t="s">
        <v>30</v>
      </c>
      <c r="I65">
        <v>135.44486189166301</v>
      </c>
      <c r="J65">
        <v>594.87562520836298</v>
      </c>
      <c r="K65">
        <v>0.55700865299341196</v>
      </c>
      <c r="L65">
        <v>4392.0132288530504</v>
      </c>
      <c r="M65">
        <v>0</v>
      </c>
      <c r="N65">
        <v>0</v>
      </c>
      <c r="O65">
        <v>0</v>
      </c>
    </row>
    <row r="66" spans="1:15" x14ac:dyDescent="0.35">
      <c r="A66" t="s">
        <v>58</v>
      </c>
      <c r="B66" t="s">
        <v>33</v>
      </c>
      <c r="C66">
        <v>2030</v>
      </c>
      <c r="D66" t="s">
        <v>42</v>
      </c>
      <c r="E66">
        <v>2019</v>
      </c>
      <c r="F66" t="s">
        <v>29</v>
      </c>
      <c r="G66" t="s">
        <v>24</v>
      </c>
      <c r="H66" t="s">
        <v>30</v>
      </c>
      <c r="I66">
        <v>947.26598182222403</v>
      </c>
      <c r="J66">
        <v>10.202753823260499</v>
      </c>
      <c r="K66">
        <v>1.36597820205955E-3</v>
      </c>
      <c r="L66">
        <v>10.7707381232396</v>
      </c>
      <c r="M66">
        <v>0</v>
      </c>
      <c r="N66">
        <v>0</v>
      </c>
      <c r="O66">
        <v>0</v>
      </c>
    </row>
    <row r="67" spans="1:15" x14ac:dyDescent="0.35">
      <c r="A67" t="s">
        <v>58</v>
      </c>
      <c r="B67" t="s">
        <v>34</v>
      </c>
      <c r="C67">
        <v>2030</v>
      </c>
      <c r="D67" t="s">
        <v>42</v>
      </c>
      <c r="E67">
        <v>2019</v>
      </c>
      <c r="F67" t="s">
        <v>29</v>
      </c>
      <c r="G67" t="s">
        <v>24</v>
      </c>
      <c r="H67" t="s">
        <v>30</v>
      </c>
      <c r="I67">
        <v>962.54137501854598</v>
      </c>
      <c r="J67">
        <v>10.188685060955899</v>
      </c>
      <c r="K67">
        <v>1.3424466443369199E-3</v>
      </c>
      <c r="L67">
        <v>10.5851917905966</v>
      </c>
      <c r="M67">
        <v>0</v>
      </c>
      <c r="N67">
        <v>0</v>
      </c>
      <c r="O67">
        <v>0</v>
      </c>
    </row>
    <row r="68" spans="1:15" x14ac:dyDescent="0.35">
      <c r="A68" t="s">
        <v>58</v>
      </c>
      <c r="B68" t="s">
        <v>35</v>
      </c>
      <c r="C68">
        <v>2030</v>
      </c>
      <c r="D68" t="s">
        <v>42</v>
      </c>
      <c r="E68">
        <v>2019</v>
      </c>
      <c r="F68" t="s">
        <v>29</v>
      </c>
      <c r="G68" t="s">
        <v>24</v>
      </c>
      <c r="H68" t="s">
        <v>30</v>
      </c>
      <c r="I68">
        <v>156.31958116332399</v>
      </c>
      <c r="J68">
        <v>745.35229311849798</v>
      </c>
      <c r="K68">
        <v>0.60470911025461205</v>
      </c>
      <c r="L68">
        <v>4768.1313343576103</v>
      </c>
      <c r="M68">
        <v>0.15631958116332401</v>
      </c>
      <c r="N68" s="10">
        <v>1.97373208539551E-5</v>
      </c>
      <c r="O68">
        <v>0</v>
      </c>
    </row>
    <row r="69" spans="1:15" x14ac:dyDescent="0.35">
      <c r="A69" t="s">
        <v>58</v>
      </c>
      <c r="B69" t="s">
        <v>54</v>
      </c>
      <c r="C69">
        <v>2030</v>
      </c>
      <c r="D69" t="s">
        <v>42</v>
      </c>
      <c r="E69">
        <v>2019</v>
      </c>
      <c r="F69" t="s">
        <v>29</v>
      </c>
      <c r="G69" t="s">
        <v>24</v>
      </c>
      <c r="H69" t="s">
        <v>30</v>
      </c>
      <c r="I69">
        <v>0</v>
      </c>
      <c r="J69">
        <v>0</v>
      </c>
      <c r="K69" t="s">
        <v>18</v>
      </c>
      <c r="L69" t="s">
        <v>18</v>
      </c>
      <c r="M69">
        <v>0</v>
      </c>
      <c r="N69">
        <v>0</v>
      </c>
      <c r="O69">
        <v>0</v>
      </c>
    </row>
    <row r="70" spans="1:15" x14ac:dyDescent="0.35">
      <c r="A70" t="s">
        <v>58</v>
      </c>
      <c r="B70" t="s">
        <v>55</v>
      </c>
      <c r="C70">
        <v>2030</v>
      </c>
      <c r="D70" t="s">
        <v>42</v>
      </c>
      <c r="E70">
        <v>2019</v>
      </c>
      <c r="F70" t="s">
        <v>29</v>
      </c>
      <c r="G70" t="s">
        <v>24</v>
      </c>
      <c r="H70" t="s">
        <v>30</v>
      </c>
      <c r="I70">
        <v>977.49316410915299</v>
      </c>
      <c r="J70">
        <v>4072.2375969212399</v>
      </c>
      <c r="K70">
        <v>0.52834509828787701</v>
      </c>
      <c r="L70">
        <v>4166.0010999999104</v>
      </c>
      <c r="M70">
        <v>168.08972450021</v>
      </c>
      <c r="N70">
        <v>2.1223450063157699E-2</v>
      </c>
      <c r="O70">
        <v>0</v>
      </c>
    </row>
    <row r="71" spans="1:15" x14ac:dyDescent="0.35">
      <c r="A71" t="s">
        <v>58</v>
      </c>
      <c r="B71" t="s">
        <v>56</v>
      </c>
      <c r="C71">
        <v>2030</v>
      </c>
      <c r="D71" t="s">
        <v>42</v>
      </c>
      <c r="E71">
        <v>2019</v>
      </c>
      <c r="F71" t="s">
        <v>29</v>
      </c>
      <c r="G71" t="s">
        <v>24</v>
      </c>
      <c r="H71" t="s">
        <v>30</v>
      </c>
      <c r="I71">
        <v>0</v>
      </c>
      <c r="J71">
        <v>0</v>
      </c>
      <c r="K71" t="s">
        <v>18</v>
      </c>
      <c r="L71" t="s">
        <v>18</v>
      </c>
      <c r="M71">
        <v>0</v>
      </c>
      <c r="N71">
        <v>0</v>
      </c>
      <c r="O71">
        <v>0</v>
      </c>
    </row>
    <row r="72" spans="1:15" x14ac:dyDescent="0.35">
      <c r="A72" t="s">
        <v>58</v>
      </c>
      <c r="B72" t="s">
        <v>57</v>
      </c>
      <c r="C72">
        <v>2030</v>
      </c>
      <c r="D72" t="s">
        <v>42</v>
      </c>
      <c r="E72">
        <v>2019</v>
      </c>
      <c r="F72" t="s">
        <v>29</v>
      </c>
      <c r="G72" t="s">
        <v>24</v>
      </c>
      <c r="H72" t="s">
        <v>30</v>
      </c>
      <c r="I72">
        <v>0</v>
      </c>
      <c r="J72">
        <v>0</v>
      </c>
      <c r="K72" t="s">
        <v>18</v>
      </c>
      <c r="L72" t="s">
        <v>18</v>
      </c>
      <c r="M72">
        <v>0</v>
      </c>
      <c r="N72">
        <v>0</v>
      </c>
      <c r="O72">
        <v>0</v>
      </c>
    </row>
    <row r="73" spans="1:15" x14ac:dyDescent="0.35">
      <c r="A73" t="s">
        <v>58</v>
      </c>
      <c r="B73" t="s">
        <v>11</v>
      </c>
      <c r="C73">
        <v>2030</v>
      </c>
      <c r="D73" t="s">
        <v>42</v>
      </c>
      <c r="E73">
        <v>2019</v>
      </c>
      <c r="F73" t="s">
        <v>29</v>
      </c>
      <c r="G73" t="s">
        <v>24</v>
      </c>
      <c r="H73" t="s">
        <v>30</v>
      </c>
      <c r="I73">
        <v>0</v>
      </c>
      <c r="J73">
        <v>0</v>
      </c>
      <c r="K73" t="s">
        <v>18</v>
      </c>
      <c r="L73" t="s">
        <v>18</v>
      </c>
      <c r="M73">
        <v>0</v>
      </c>
      <c r="N73">
        <v>0</v>
      </c>
      <c r="O73">
        <v>0</v>
      </c>
    </row>
    <row r="74" spans="1:15" x14ac:dyDescent="0.35">
      <c r="A74" t="s">
        <v>58</v>
      </c>
      <c r="B74" t="s">
        <v>12</v>
      </c>
      <c r="C74">
        <v>2030</v>
      </c>
      <c r="D74" t="s">
        <v>42</v>
      </c>
      <c r="E74">
        <v>2019</v>
      </c>
      <c r="F74" t="s">
        <v>29</v>
      </c>
      <c r="G74" t="s">
        <v>24</v>
      </c>
      <c r="H74" t="s">
        <v>30</v>
      </c>
      <c r="I74">
        <v>871.95540211122704</v>
      </c>
      <c r="J74">
        <v>51.248407635495703</v>
      </c>
      <c r="K74">
        <v>7.4539144754249198E-3</v>
      </c>
      <c r="L74">
        <v>58.774115638725497</v>
      </c>
      <c r="M74">
        <v>0</v>
      </c>
      <c r="N74">
        <v>0</v>
      </c>
      <c r="O74">
        <v>0</v>
      </c>
    </row>
    <row r="75" spans="1:15" x14ac:dyDescent="0.35">
      <c r="A75" t="s">
        <v>58</v>
      </c>
      <c r="B75" t="s">
        <v>13</v>
      </c>
      <c r="C75">
        <v>2030</v>
      </c>
      <c r="D75" t="s">
        <v>42</v>
      </c>
      <c r="E75">
        <v>2019</v>
      </c>
      <c r="F75" t="s">
        <v>29</v>
      </c>
      <c r="G75" t="s">
        <v>24</v>
      </c>
      <c r="H75" t="s">
        <v>30</v>
      </c>
      <c r="I75">
        <v>0</v>
      </c>
      <c r="J75">
        <v>0</v>
      </c>
      <c r="K75" t="s">
        <v>18</v>
      </c>
      <c r="L75" t="s">
        <v>18</v>
      </c>
      <c r="M75">
        <v>0</v>
      </c>
      <c r="N75">
        <v>0</v>
      </c>
      <c r="O75">
        <v>0</v>
      </c>
    </row>
    <row r="76" spans="1:15" x14ac:dyDescent="0.35">
      <c r="A76" t="s">
        <v>58</v>
      </c>
      <c r="B76" t="s">
        <v>14</v>
      </c>
      <c r="C76">
        <v>2030</v>
      </c>
      <c r="D76" t="s">
        <v>42</v>
      </c>
      <c r="E76">
        <v>2019</v>
      </c>
      <c r="F76" t="s">
        <v>29</v>
      </c>
      <c r="G76" t="s">
        <v>24</v>
      </c>
      <c r="H76" t="s">
        <v>30</v>
      </c>
      <c r="I76">
        <v>0</v>
      </c>
      <c r="J76">
        <v>0</v>
      </c>
      <c r="K76" t="s">
        <v>18</v>
      </c>
      <c r="L76" t="s">
        <v>18</v>
      </c>
      <c r="M76">
        <v>0</v>
      </c>
      <c r="N76">
        <v>0</v>
      </c>
      <c r="O76">
        <v>0</v>
      </c>
    </row>
    <row r="77" spans="1:15" x14ac:dyDescent="0.35">
      <c r="A77" t="s">
        <v>58</v>
      </c>
      <c r="B77" t="s">
        <v>4</v>
      </c>
      <c r="C77">
        <v>2030</v>
      </c>
      <c r="D77" t="s">
        <v>42</v>
      </c>
      <c r="E77">
        <v>2019</v>
      </c>
      <c r="F77" t="s">
        <v>29</v>
      </c>
      <c r="G77" t="s">
        <v>24</v>
      </c>
      <c r="H77" t="s">
        <v>30</v>
      </c>
      <c r="I77">
        <v>0</v>
      </c>
      <c r="J77">
        <v>0</v>
      </c>
      <c r="K77" t="s">
        <v>18</v>
      </c>
      <c r="L77" t="s">
        <v>18</v>
      </c>
      <c r="M77">
        <v>0</v>
      </c>
      <c r="N77">
        <v>0</v>
      </c>
      <c r="O77">
        <v>0</v>
      </c>
    </row>
    <row r="78" spans="1:15" x14ac:dyDescent="0.35">
      <c r="A78" t="s">
        <v>58</v>
      </c>
      <c r="B78" t="s">
        <v>28</v>
      </c>
      <c r="C78">
        <v>2030</v>
      </c>
      <c r="D78" t="s">
        <v>42</v>
      </c>
      <c r="E78">
        <v>2020</v>
      </c>
      <c r="F78" t="s">
        <v>29</v>
      </c>
      <c r="G78" t="s">
        <v>24</v>
      </c>
      <c r="H78" t="s">
        <v>30</v>
      </c>
      <c r="I78">
        <v>89.553952362204996</v>
      </c>
      <c r="J78">
        <v>425.80645161290698</v>
      </c>
      <c r="K78">
        <v>0.60301176017154301</v>
      </c>
      <c r="L78">
        <v>4754.7477289526096</v>
      </c>
      <c r="M78">
        <v>0</v>
      </c>
      <c r="N78">
        <v>0</v>
      </c>
      <c r="O78">
        <v>2.12363504066845E-2</v>
      </c>
    </row>
    <row r="79" spans="1:15" x14ac:dyDescent="0.35">
      <c r="A79" t="s">
        <v>58</v>
      </c>
      <c r="B79" t="s">
        <v>53</v>
      </c>
      <c r="C79">
        <v>2030</v>
      </c>
      <c r="D79" t="s">
        <v>42</v>
      </c>
      <c r="E79">
        <v>2020</v>
      </c>
      <c r="F79" t="s">
        <v>29</v>
      </c>
      <c r="G79" t="s">
        <v>24</v>
      </c>
      <c r="H79" t="s">
        <v>30</v>
      </c>
      <c r="I79">
        <v>198.07843548337399</v>
      </c>
      <c r="J79">
        <v>862.38275155548297</v>
      </c>
      <c r="K79">
        <v>0.55215520042502098</v>
      </c>
      <c r="L79">
        <v>4353.74375535129</v>
      </c>
      <c r="M79">
        <v>0</v>
      </c>
      <c r="N79">
        <v>0</v>
      </c>
      <c r="O79">
        <v>0</v>
      </c>
    </row>
    <row r="80" spans="1:15" x14ac:dyDescent="0.35">
      <c r="A80" t="s">
        <v>58</v>
      </c>
      <c r="B80" t="s">
        <v>25</v>
      </c>
      <c r="C80">
        <v>2030</v>
      </c>
      <c r="D80" t="s">
        <v>42</v>
      </c>
      <c r="E80">
        <v>2020</v>
      </c>
      <c r="F80" t="s">
        <v>29</v>
      </c>
      <c r="G80" t="s">
        <v>24</v>
      </c>
      <c r="H80" t="s">
        <v>30</v>
      </c>
      <c r="I80">
        <v>17.6069720429666</v>
      </c>
      <c r="J80">
        <v>76.656244582712901</v>
      </c>
      <c r="K80">
        <v>0.55215520042502098</v>
      </c>
      <c r="L80">
        <v>4353.74375535129</v>
      </c>
      <c r="M80">
        <v>8.3280977763232206E-3</v>
      </c>
      <c r="N80" s="10">
        <v>1.05152749701049E-6</v>
      </c>
      <c r="O80">
        <v>0</v>
      </c>
    </row>
    <row r="81" spans="1:15" x14ac:dyDescent="0.35">
      <c r="A81" t="s">
        <v>58</v>
      </c>
      <c r="B81" t="s">
        <v>31</v>
      </c>
      <c r="C81">
        <v>2030</v>
      </c>
      <c r="D81" t="s">
        <v>42</v>
      </c>
      <c r="E81">
        <v>2020</v>
      </c>
      <c r="F81" t="s">
        <v>29</v>
      </c>
      <c r="G81" t="s">
        <v>24</v>
      </c>
      <c r="H81" t="s">
        <v>30</v>
      </c>
      <c r="I81">
        <v>16.1197114251969</v>
      </c>
      <c r="J81">
        <v>76.645161290331203</v>
      </c>
      <c r="K81">
        <v>0.60301176017154301</v>
      </c>
      <c r="L81">
        <v>4754.7477289526096</v>
      </c>
      <c r="M81">
        <v>0</v>
      </c>
      <c r="N81">
        <v>0</v>
      </c>
      <c r="O81">
        <v>0</v>
      </c>
    </row>
    <row r="82" spans="1:15" x14ac:dyDescent="0.35">
      <c r="A82" t="s">
        <v>58</v>
      </c>
      <c r="B82" t="s">
        <v>8</v>
      </c>
      <c r="C82">
        <v>2030</v>
      </c>
      <c r="D82" t="s">
        <v>42</v>
      </c>
      <c r="E82">
        <v>2020</v>
      </c>
      <c r="F82" t="s">
        <v>29</v>
      </c>
      <c r="G82" t="s">
        <v>24</v>
      </c>
      <c r="H82" t="s">
        <v>30</v>
      </c>
      <c r="I82">
        <v>0</v>
      </c>
      <c r="J82">
        <v>0</v>
      </c>
      <c r="K82" t="s">
        <v>18</v>
      </c>
      <c r="L82" t="s">
        <v>18</v>
      </c>
      <c r="M82">
        <v>0</v>
      </c>
      <c r="N82">
        <v>0</v>
      </c>
      <c r="O82">
        <v>0</v>
      </c>
    </row>
    <row r="83" spans="1:15" x14ac:dyDescent="0.35">
      <c r="A83" t="s">
        <v>58</v>
      </c>
      <c r="B83" t="s">
        <v>9</v>
      </c>
      <c r="C83">
        <v>2030</v>
      </c>
      <c r="D83" t="s">
        <v>42</v>
      </c>
      <c r="E83">
        <v>2020</v>
      </c>
      <c r="F83" t="s">
        <v>29</v>
      </c>
      <c r="G83" t="s">
        <v>24</v>
      </c>
      <c r="H83" t="s">
        <v>30</v>
      </c>
      <c r="I83">
        <v>99.937173315878596</v>
      </c>
      <c r="J83">
        <v>435.10084425147198</v>
      </c>
      <c r="K83">
        <v>0.55215520042502098</v>
      </c>
      <c r="L83">
        <v>4353.74375535129</v>
      </c>
      <c r="M83">
        <v>0</v>
      </c>
      <c r="N83">
        <v>0</v>
      </c>
      <c r="O83">
        <v>0</v>
      </c>
    </row>
    <row r="84" spans="1:15" x14ac:dyDescent="0.35">
      <c r="A84" t="s">
        <v>58</v>
      </c>
      <c r="B84" t="s">
        <v>10</v>
      </c>
      <c r="C84">
        <v>2030</v>
      </c>
      <c r="D84" t="s">
        <v>42</v>
      </c>
      <c r="E84">
        <v>2020</v>
      </c>
      <c r="F84" t="s">
        <v>29</v>
      </c>
      <c r="G84" t="s">
        <v>24</v>
      </c>
      <c r="H84" t="s">
        <v>30</v>
      </c>
      <c r="I84">
        <v>136.63010305342101</v>
      </c>
      <c r="J84">
        <v>594.85245796185905</v>
      </c>
      <c r="K84">
        <v>0.55215520042502098</v>
      </c>
      <c r="L84">
        <v>4353.74375535129</v>
      </c>
      <c r="M84">
        <v>0</v>
      </c>
      <c r="N84">
        <v>0</v>
      </c>
      <c r="O84">
        <v>0</v>
      </c>
    </row>
    <row r="85" spans="1:15" x14ac:dyDescent="0.35">
      <c r="A85" t="s">
        <v>58</v>
      </c>
      <c r="B85" t="s">
        <v>33</v>
      </c>
      <c r="C85">
        <v>2030</v>
      </c>
      <c r="D85" t="s">
        <v>42</v>
      </c>
      <c r="E85">
        <v>2020</v>
      </c>
      <c r="F85" t="s">
        <v>29</v>
      </c>
      <c r="G85" t="s">
        <v>24</v>
      </c>
      <c r="H85" t="s">
        <v>30</v>
      </c>
      <c r="I85">
        <v>944.84822371369103</v>
      </c>
      <c r="J85">
        <v>8.0426863379949101</v>
      </c>
      <c r="K85">
        <v>1.0795366300561499E-3</v>
      </c>
      <c r="L85">
        <v>8.5121463279928005</v>
      </c>
      <c r="M85">
        <v>0</v>
      </c>
      <c r="N85">
        <v>0</v>
      </c>
      <c r="O85">
        <v>0</v>
      </c>
    </row>
    <row r="86" spans="1:15" x14ac:dyDescent="0.35">
      <c r="A86" t="s">
        <v>58</v>
      </c>
      <c r="B86" t="s">
        <v>34</v>
      </c>
      <c r="C86">
        <v>2030</v>
      </c>
      <c r="D86" t="s">
        <v>42</v>
      </c>
      <c r="E86">
        <v>2020</v>
      </c>
      <c r="F86" t="s">
        <v>29</v>
      </c>
      <c r="G86" t="s">
        <v>24</v>
      </c>
      <c r="H86" t="s">
        <v>30</v>
      </c>
      <c r="I86">
        <v>960.96793513888804</v>
      </c>
      <c r="J86">
        <v>8.0316030456112397</v>
      </c>
      <c r="K86">
        <v>1.0599652837517399E-3</v>
      </c>
      <c r="L86">
        <v>8.3578262623825204</v>
      </c>
      <c r="M86">
        <v>0</v>
      </c>
      <c r="N86">
        <v>0</v>
      </c>
      <c r="O86">
        <v>0</v>
      </c>
    </row>
    <row r="87" spans="1:15" x14ac:dyDescent="0.35">
      <c r="A87" t="s">
        <v>58</v>
      </c>
      <c r="B87" t="s">
        <v>35</v>
      </c>
      <c r="C87">
        <v>2030</v>
      </c>
      <c r="D87" t="s">
        <v>42</v>
      </c>
      <c r="E87">
        <v>2020</v>
      </c>
      <c r="F87" t="s">
        <v>29</v>
      </c>
      <c r="G87" t="s">
        <v>24</v>
      </c>
      <c r="H87" t="s">
        <v>30</v>
      </c>
      <c r="I87">
        <v>123.14769315655001</v>
      </c>
      <c r="J87">
        <v>589.65888574207395</v>
      </c>
      <c r="K87">
        <v>0.60725747421041998</v>
      </c>
      <c r="L87">
        <v>4788.2251841491598</v>
      </c>
      <c r="M87">
        <v>0.12314769315655</v>
      </c>
      <c r="N87" s="10">
        <v>1.5548951156129899E-5</v>
      </c>
      <c r="O87">
        <v>0</v>
      </c>
    </row>
    <row r="88" spans="1:15" x14ac:dyDescent="0.35">
      <c r="A88" t="s">
        <v>58</v>
      </c>
      <c r="B88" t="s">
        <v>54</v>
      </c>
      <c r="C88">
        <v>2030</v>
      </c>
      <c r="D88" t="s">
        <v>42</v>
      </c>
      <c r="E88">
        <v>2020</v>
      </c>
      <c r="F88" t="s">
        <v>29</v>
      </c>
      <c r="G88" t="s">
        <v>24</v>
      </c>
      <c r="H88" t="s">
        <v>30</v>
      </c>
      <c r="I88">
        <v>2.9356515357022799</v>
      </c>
      <c r="J88">
        <v>10.9860858064069</v>
      </c>
      <c r="K88">
        <v>0.47460989220037397</v>
      </c>
      <c r="L88">
        <v>3742.29899999995</v>
      </c>
      <c r="M88">
        <v>0.504814638079364</v>
      </c>
      <c r="N88" s="10">
        <v>6.37392219797171E-5</v>
      </c>
      <c r="O88">
        <v>0</v>
      </c>
    </row>
    <row r="89" spans="1:15" x14ac:dyDescent="0.35">
      <c r="A89" t="s">
        <v>58</v>
      </c>
      <c r="B89" t="s">
        <v>55</v>
      </c>
      <c r="C89">
        <v>2030</v>
      </c>
      <c r="D89" t="s">
        <v>42</v>
      </c>
      <c r="E89">
        <v>2020</v>
      </c>
      <c r="F89" t="s">
        <v>29</v>
      </c>
      <c r="G89" t="s">
        <v>24</v>
      </c>
      <c r="H89" t="s">
        <v>30</v>
      </c>
      <c r="I89">
        <v>974.38709462625798</v>
      </c>
      <c r="J89">
        <v>4027.781839534</v>
      </c>
      <c r="K89">
        <v>0.52424309448318496</v>
      </c>
      <c r="L89">
        <v>4133.6567999999197</v>
      </c>
      <c r="M89">
        <v>167.55560479193099</v>
      </c>
      <c r="N89">
        <v>2.1156010706051699E-2</v>
      </c>
      <c r="O89">
        <v>0</v>
      </c>
    </row>
    <row r="90" spans="1:15" x14ac:dyDescent="0.35">
      <c r="A90" t="s">
        <v>58</v>
      </c>
      <c r="B90" t="s">
        <v>56</v>
      </c>
      <c r="C90">
        <v>2030</v>
      </c>
      <c r="D90" t="s">
        <v>42</v>
      </c>
      <c r="E90">
        <v>2020</v>
      </c>
      <c r="F90" t="s">
        <v>29</v>
      </c>
      <c r="G90" t="s">
        <v>24</v>
      </c>
      <c r="H90" t="s">
        <v>30</v>
      </c>
      <c r="I90">
        <v>0</v>
      </c>
      <c r="J90">
        <v>0</v>
      </c>
      <c r="K90" t="s">
        <v>18</v>
      </c>
      <c r="L90" t="s">
        <v>18</v>
      </c>
      <c r="M90">
        <v>0</v>
      </c>
      <c r="N90">
        <v>0</v>
      </c>
      <c r="O90">
        <v>0</v>
      </c>
    </row>
    <row r="91" spans="1:15" x14ac:dyDescent="0.35">
      <c r="A91" t="s">
        <v>58</v>
      </c>
      <c r="B91" t="s">
        <v>57</v>
      </c>
      <c r="C91">
        <v>2030</v>
      </c>
      <c r="D91" t="s">
        <v>42</v>
      </c>
      <c r="E91">
        <v>2020</v>
      </c>
      <c r="F91" t="s">
        <v>29</v>
      </c>
      <c r="G91" t="s">
        <v>24</v>
      </c>
      <c r="H91" t="s">
        <v>30</v>
      </c>
      <c r="I91">
        <v>0</v>
      </c>
      <c r="J91">
        <v>0</v>
      </c>
      <c r="K91" t="s">
        <v>18</v>
      </c>
      <c r="L91" t="s">
        <v>18</v>
      </c>
      <c r="M91">
        <v>0</v>
      </c>
      <c r="N91">
        <v>0</v>
      </c>
      <c r="O91">
        <v>0</v>
      </c>
    </row>
    <row r="92" spans="1:15" x14ac:dyDescent="0.35">
      <c r="A92" t="s">
        <v>58</v>
      </c>
      <c r="B92" t="s">
        <v>11</v>
      </c>
      <c r="C92">
        <v>2030</v>
      </c>
      <c r="D92" t="s">
        <v>42</v>
      </c>
      <c r="E92">
        <v>2020</v>
      </c>
      <c r="F92" t="s">
        <v>29</v>
      </c>
      <c r="G92" t="s">
        <v>24</v>
      </c>
      <c r="H92" t="s">
        <v>30</v>
      </c>
      <c r="I92">
        <v>0</v>
      </c>
      <c r="J92">
        <v>0</v>
      </c>
      <c r="K92" t="s">
        <v>18</v>
      </c>
      <c r="L92" t="s">
        <v>18</v>
      </c>
      <c r="M92">
        <v>0</v>
      </c>
      <c r="N92">
        <v>0</v>
      </c>
      <c r="O92">
        <v>0</v>
      </c>
    </row>
    <row r="93" spans="1:15" x14ac:dyDescent="0.35">
      <c r="A93" t="s">
        <v>58</v>
      </c>
      <c r="B93" t="s">
        <v>12</v>
      </c>
      <c r="C93">
        <v>2030</v>
      </c>
      <c r="D93" t="s">
        <v>42</v>
      </c>
      <c r="E93">
        <v>2020</v>
      </c>
      <c r="F93" t="s">
        <v>29</v>
      </c>
      <c r="G93" t="s">
        <v>24</v>
      </c>
      <c r="H93" t="s">
        <v>30</v>
      </c>
      <c r="I93">
        <v>359.68220564366499</v>
      </c>
      <c r="J93">
        <v>19.9579598593225</v>
      </c>
      <c r="K93">
        <v>7.0371287100181997E-3</v>
      </c>
      <c r="L93">
        <v>55.487759878493499</v>
      </c>
      <c r="M93">
        <v>0</v>
      </c>
      <c r="N93">
        <v>0</v>
      </c>
      <c r="O93">
        <v>0</v>
      </c>
    </row>
    <row r="94" spans="1:15" x14ac:dyDescent="0.35">
      <c r="A94" t="s">
        <v>58</v>
      </c>
      <c r="B94" t="s">
        <v>13</v>
      </c>
      <c r="C94">
        <v>2030</v>
      </c>
      <c r="D94" t="s">
        <v>42</v>
      </c>
      <c r="E94">
        <v>2020</v>
      </c>
      <c r="F94" t="s">
        <v>29</v>
      </c>
      <c r="G94" t="s">
        <v>24</v>
      </c>
      <c r="H94" t="s">
        <v>30</v>
      </c>
      <c r="I94">
        <v>0</v>
      </c>
      <c r="J94">
        <v>0</v>
      </c>
      <c r="K94" t="s">
        <v>18</v>
      </c>
      <c r="L94" t="s">
        <v>18</v>
      </c>
      <c r="M94">
        <v>0</v>
      </c>
      <c r="N94">
        <v>0</v>
      </c>
      <c r="O94">
        <v>0</v>
      </c>
    </row>
    <row r="95" spans="1:15" x14ac:dyDescent="0.35">
      <c r="A95" t="s">
        <v>58</v>
      </c>
      <c r="B95" t="s">
        <v>14</v>
      </c>
      <c r="C95">
        <v>2030</v>
      </c>
      <c r="D95" t="s">
        <v>42</v>
      </c>
      <c r="E95">
        <v>2020</v>
      </c>
      <c r="F95" t="s">
        <v>29</v>
      </c>
      <c r="G95" t="s">
        <v>24</v>
      </c>
      <c r="H95" t="s">
        <v>30</v>
      </c>
      <c r="I95">
        <v>0</v>
      </c>
      <c r="J95">
        <v>0</v>
      </c>
      <c r="K95" t="s">
        <v>18</v>
      </c>
      <c r="L95" t="s">
        <v>18</v>
      </c>
      <c r="M95">
        <v>0</v>
      </c>
      <c r="N95">
        <v>0</v>
      </c>
      <c r="O95">
        <v>0</v>
      </c>
    </row>
    <row r="96" spans="1:15" x14ac:dyDescent="0.35">
      <c r="A96" t="s">
        <v>58</v>
      </c>
      <c r="B96" t="s">
        <v>4</v>
      </c>
      <c r="C96">
        <v>2030</v>
      </c>
      <c r="D96" t="s">
        <v>42</v>
      </c>
      <c r="E96">
        <v>2020</v>
      </c>
      <c r="F96" t="s">
        <v>29</v>
      </c>
      <c r="G96" t="s">
        <v>24</v>
      </c>
      <c r="H96" t="s">
        <v>30</v>
      </c>
      <c r="I96">
        <v>0</v>
      </c>
      <c r="J96">
        <v>0</v>
      </c>
      <c r="K96" t="s">
        <v>18</v>
      </c>
      <c r="L96" t="s">
        <v>18</v>
      </c>
      <c r="M96">
        <v>0</v>
      </c>
      <c r="N96">
        <v>0</v>
      </c>
      <c r="O96">
        <v>0</v>
      </c>
    </row>
    <row r="97" spans="1:15" x14ac:dyDescent="0.35">
      <c r="A97" t="s">
        <v>58</v>
      </c>
      <c r="B97" t="s">
        <v>28</v>
      </c>
      <c r="C97">
        <v>2030</v>
      </c>
      <c r="D97" t="s">
        <v>42</v>
      </c>
      <c r="E97">
        <v>2021</v>
      </c>
      <c r="F97" t="s">
        <v>29</v>
      </c>
      <c r="G97" t="s">
        <v>24</v>
      </c>
      <c r="H97" t="s">
        <v>30</v>
      </c>
      <c r="I97">
        <v>77.448847781876495</v>
      </c>
      <c r="J97">
        <v>425.80645161291</v>
      </c>
      <c r="K97">
        <v>0.697261327842291</v>
      </c>
      <c r="L97">
        <v>5497.9055700364597</v>
      </c>
      <c r="M97">
        <v>0</v>
      </c>
      <c r="N97">
        <v>0</v>
      </c>
      <c r="O97">
        <v>2.3244177973870801E-2</v>
      </c>
    </row>
    <row r="98" spans="1:15" x14ac:dyDescent="0.35">
      <c r="A98" t="s">
        <v>58</v>
      </c>
      <c r="B98" t="s">
        <v>53</v>
      </c>
      <c r="C98">
        <v>2030</v>
      </c>
      <c r="D98" t="s">
        <v>42</v>
      </c>
      <c r="E98">
        <v>2021</v>
      </c>
      <c r="F98" t="s">
        <v>29</v>
      </c>
      <c r="G98" t="s">
        <v>24</v>
      </c>
      <c r="H98" t="s">
        <v>30</v>
      </c>
      <c r="I98">
        <v>216.30393657190501</v>
      </c>
      <c r="J98">
        <v>862.72828308218004</v>
      </c>
      <c r="K98">
        <v>0.50583388056321799</v>
      </c>
      <c r="L98">
        <v>3988.5001482409698</v>
      </c>
      <c r="M98">
        <v>0</v>
      </c>
      <c r="N98">
        <v>0</v>
      </c>
      <c r="O98">
        <v>0</v>
      </c>
    </row>
    <row r="99" spans="1:15" x14ac:dyDescent="0.35">
      <c r="A99" t="s">
        <v>58</v>
      </c>
      <c r="B99" t="s">
        <v>25</v>
      </c>
      <c r="C99">
        <v>2030</v>
      </c>
      <c r="D99" t="s">
        <v>42</v>
      </c>
      <c r="E99">
        <v>2021</v>
      </c>
      <c r="F99" t="s">
        <v>29</v>
      </c>
      <c r="G99" t="s">
        <v>24</v>
      </c>
      <c r="H99" t="s">
        <v>30</v>
      </c>
      <c r="I99">
        <v>19.227016584169299</v>
      </c>
      <c r="J99">
        <v>76.686958496194194</v>
      </c>
      <c r="K99">
        <v>0.50583388056321799</v>
      </c>
      <c r="L99">
        <v>3988.5001482409698</v>
      </c>
      <c r="M99">
        <v>9.0943788443121204E-3</v>
      </c>
      <c r="N99" s="10">
        <v>1.1482801571100899E-6</v>
      </c>
      <c r="O99">
        <v>0</v>
      </c>
    </row>
    <row r="100" spans="1:15" x14ac:dyDescent="0.35">
      <c r="A100" t="s">
        <v>58</v>
      </c>
      <c r="B100" t="s">
        <v>31</v>
      </c>
      <c r="C100">
        <v>2030</v>
      </c>
      <c r="D100" t="s">
        <v>42</v>
      </c>
      <c r="E100">
        <v>2021</v>
      </c>
      <c r="F100" t="s">
        <v>29</v>
      </c>
      <c r="G100" t="s">
        <v>24</v>
      </c>
      <c r="H100" t="s">
        <v>30</v>
      </c>
      <c r="I100">
        <v>13.9407926007377</v>
      </c>
      <c r="J100">
        <v>76.645161290313496</v>
      </c>
      <c r="K100">
        <v>0.697261327842291</v>
      </c>
      <c r="L100">
        <v>5497.9055700364597</v>
      </c>
      <c r="M100">
        <v>0</v>
      </c>
      <c r="N100">
        <v>0</v>
      </c>
      <c r="O100">
        <v>0</v>
      </c>
    </row>
    <row r="101" spans="1:15" x14ac:dyDescent="0.35">
      <c r="A101" t="s">
        <v>58</v>
      </c>
      <c r="B101" t="s">
        <v>8</v>
      </c>
      <c r="C101">
        <v>2030</v>
      </c>
      <c r="D101" t="s">
        <v>42</v>
      </c>
      <c r="E101">
        <v>2021</v>
      </c>
      <c r="F101" t="s">
        <v>29</v>
      </c>
      <c r="G101" t="s">
        <v>24</v>
      </c>
      <c r="H101" t="s">
        <v>30</v>
      </c>
      <c r="I101">
        <v>0</v>
      </c>
      <c r="J101">
        <v>0</v>
      </c>
      <c r="K101" t="s">
        <v>18</v>
      </c>
      <c r="L101" t="s">
        <v>18</v>
      </c>
      <c r="M101">
        <v>0</v>
      </c>
      <c r="N101">
        <v>0</v>
      </c>
      <c r="O101">
        <v>0</v>
      </c>
    </row>
    <row r="102" spans="1:15" x14ac:dyDescent="0.35">
      <c r="A102" t="s">
        <v>58</v>
      </c>
      <c r="B102" t="s">
        <v>9</v>
      </c>
      <c r="C102">
        <v>2030</v>
      </c>
      <c r="D102" t="s">
        <v>42</v>
      </c>
      <c r="E102">
        <v>2021</v>
      </c>
      <c r="F102" t="s">
        <v>29</v>
      </c>
      <c r="G102" t="s">
        <v>24</v>
      </c>
      <c r="H102" t="s">
        <v>30</v>
      </c>
      <c r="I102">
        <v>109.132546131745</v>
      </c>
      <c r="J102">
        <v>435.27517642437698</v>
      </c>
      <c r="K102">
        <v>0.50583388056321799</v>
      </c>
      <c r="L102">
        <v>3988.5001482409698</v>
      </c>
      <c r="M102">
        <v>0</v>
      </c>
      <c r="N102">
        <v>0</v>
      </c>
      <c r="O102">
        <v>0</v>
      </c>
    </row>
    <row r="103" spans="1:15" x14ac:dyDescent="0.35">
      <c r="A103" t="s">
        <v>58</v>
      </c>
      <c r="B103" t="s">
        <v>10</v>
      </c>
      <c r="C103">
        <v>2030</v>
      </c>
      <c r="D103" t="s">
        <v>42</v>
      </c>
      <c r="E103">
        <v>2021</v>
      </c>
      <c r="F103" t="s">
        <v>29</v>
      </c>
      <c r="G103" t="s">
        <v>24</v>
      </c>
      <c r="H103" t="s">
        <v>30</v>
      </c>
      <c r="I103">
        <v>149.201648693154</v>
      </c>
      <c r="J103">
        <v>595.09079793044498</v>
      </c>
      <c r="K103">
        <v>0.50583388056321799</v>
      </c>
      <c r="L103">
        <v>3988.5001482409698</v>
      </c>
      <c r="M103">
        <v>0</v>
      </c>
      <c r="N103">
        <v>0</v>
      </c>
      <c r="O103">
        <v>0</v>
      </c>
    </row>
    <row r="104" spans="1:15" x14ac:dyDescent="0.35">
      <c r="A104" t="s">
        <v>58</v>
      </c>
      <c r="B104" t="s">
        <v>33</v>
      </c>
      <c r="C104">
        <v>2030</v>
      </c>
      <c r="D104" t="s">
        <v>42</v>
      </c>
      <c r="E104">
        <v>2021</v>
      </c>
      <c r="F104" t="s">
        <v>29</v>
      </c>
      <c r="G104" t="s">
        <v>24</v>
      </c>
      <c r="H104" t="s">
        <v>30</v>
      </c>
      <c r="I104">
        <v>1042.0917775769201</v>
      </c>
      <c r="J104">
        <v>25.5596777988101</v>
      </c>
      <c r="K104">
        <v>3.1106253576053799E-3</v>
      </c>
      <c r="L104">
        <v>24.527280944718399</v>
      </c>
      <c r="M104">
        <v>0</v>
      </c>
      <c r="N104">
        <v>0</v>
      </c>
      <c r="O104">
        <v>0</v>
      </c>
    </row>
    <row r="105" spans="1:15" x14ac:dyDescent="0.35">
      <c r="A105" t="s">
        <v>58</v>
      </c>
      <c r="B105" t="s">
        <v>34</v>
      </c>
      <c r="C105">
        <v>2030</v>
      </c>
      <c r="D105" t="s">
        <v>42</v>
      </c>
      <c r="E105">
        <v>2021</v>
      </c>
      <c r="F105" t="s">
        <v>29</v>
      </c>
      <c r="G105" t="s">
        <v>24</v>
      </c>
      <c r="H105" t="s">
        <v>30</v>
      </c>
      <c r="I105">
        <v>1056.0325701776601</v>
      </c>
      <c r="J105">
        <v>25.517880592938099</v>
      </c>
      <c r="K105">
        <v>3.0645420882037902E-3</v>
      </c>
      <c r="L105">
        <v>24.1639143654869</v>
      </c>
      <c r="M105">
        <v>0</v>
      </c>
      <c r="N105">
        <v>0</v>
      </c>
      <c r="O105">
        <v>0</v>
      </c>
    </row>
    <row r="106" spans="1:15" x14ac:dyDescent="0.35">
      <c r="A106" t="s">
        <v>58</v>
      </c>
      <c r="B106" t="s">
        <v>35</v>
      </c>
      <c r="C106">
        <v>2030</v>
      </c>
      <c r="D106" t="s">
        <v>42</v>
      </c>
      <c r="E106">
        <v>2021</v>
      </c>
      <c r="F106" t="s">
        <v>29</v>
      </c>
      <c r="G106" t="s">
        <v>24</v>
      </c>
      <c r="H106" t="s">
        <v>30</v>
      </c>
      <c r="I106">
        <v>464.413398576823</v>
      </c>
      <c r="J106">
        <v>2006.7829354744099</v>
      </c>
      <c r="K106">
        <v>0.54801691157538002</v>
      </c>
      <c r="L106">
        <v>4321.1133477718704</v>
      </c>
      <c r="M106">
        <v>0.46441339857682301</v>
      </c>
      <c r="N106" s="10">
        <v>5.8638055375860598E-5</v>
      </c>
      <c r="O106">
        <v>0</v>
      </c>
    </row>
    <row r="107" spans="1:15" x14ac:dyDescent="0.35">
      <c r="A107" t="s">
        <v>58</v>
      </c>
      <c r="B107" t="s">
        <v>54</v>
      </c>
      <c r="C107">
        <v>2030</v>
      </c>
      <c r="D107" t="s">
        <v>42</v>
      </c>
      <c r="E107">
        <v>2021</v>
      </c>
      <c r="F107" t="s">
        <v>29</v>
      </c>
      <c r="G107" t="s">
        <v>24</v>
      </c>
      <c r="H107" t="s">
        <v>30</v>
      </c>
      <c r="I107">
        <v>0</v>
      </c>
      <c r="J107">
        <v>0</v>
      </c>
      <c r="K107" t="s">
        <v>18</v>
      </c>
      <c r="L107" t="s">
        <v>18</v>
      </c>
      <c r="M107">
        <v>0</v>
      </c>
      <c r="N107">
        <v>0</v>
      </c>
      <c r="O107">
        <v>0</v>
      </c>
    </row>
    <row r="108" spans="1:15" x14ac:dyDescent="0.35">
      <c r="A108" t="s">
        <v>58</v>
      </c>
      <c r="B108" t="s">
        <v>55</v>
      </c>
      <c r="C108">
        <v>2030</v>
      </c>
      <c r="D108" t="s">
        <v>42</v>
      </c>
      <c r="E108">
        <v>2021</v>
      </c>
      <c r="F108" t="s">
        <v>29</v>
      </c>
      <c r="G108" t="s">
        <v>24</v>
      </c>
      <c r="H108" t="s">
        <v>30</v>
      </c>
      <c r="I108">
        <v>1067.8086867622601</v>
      </c>
      <c r="J108">
        <v>4074.7322144955301</v>
      </c>
      <c r="K108">
        <v>0.48395382371590301</v>
      </c>
      <c r="L108">
        <v>3815.9758999998999</v>
      </c>
      <c r="M108">
        <v>183.620381775639</v>
      </c>
      <c r="N108">
        <v>2.3184391638337899E-2</v>
      </c>
      <c r="O108">
        <v>0</v>
      </c>
    </row>
    <row r="109" spans="1:15" x14ac:dyDescent="0.35">
      <c r="A109" t="s">
        <v>58</v>
      </c>
      <c r="B109" t="s">
        <v>56</v>
      </c>
      <c r="C109">
        <v>2030</v>
      </c>
      <c r="D109" t="s">
        <v>42</v>
      </c>
      <c r="E109">
        <v>2021</v>
      </c>
      <c r="F109" t="s">
        <v>29</v>
      </c>
      <c r="G109" t="s">
        <v>24</v>
      </c>
      <c r="H109" t="s">
        <v>30</v>
      </c>
      <c r="I109">
        <v>0</v>
      </c>
      <c r="J109">
        <v>0</v>
      </c>
      <c r="K109" t="s">
        <v>18</v>
      </c>
      <c r="L109" t="s">
        <v>18</v>
      </c>
      <c r="M109">
        <v>0</v>
      </c>
      <c r="N109">
        <v>0</v>
      </c>
      <c r="O109">
        <v>0</v>
      </c>
    </row>
    <row r="110" spans="1:15" x14ac:dyDescent="0.35">
      <c r="A110" t="s">
        <v>58</v>
      </c>
      <c r="B110" t="s">
        <v>57</v>
      </c>
      <c r="C110">
        <v>2030</v>
      </c>
      <c r="D110" t="s">
        <v>42</v>
      </c>
      <c r="E110">
        <v>2021</v>
      </c>
      <c r="F110" t="s">
        <v>29</v>
      </c>
      <c r="G110" t="s">
        <v>24</v>
      </c>
      <c r="H110" t="s">
        <v>30</v>
      </c>
      <c r="I110">
        <v>0</v>
      </c>
      <c r="J110">
        <v>0</v>
      </c>
      <c r="K110" t="s">
        <v>18</v>
      </c>
      <c r="L110" t="s">
        <v>18</v>
      </c>
      <c r="M110">
        <v>0</v>
      </c>
      <c r="N110">
        <v>0</v>
      </c>
      <c r="O110">
        <v>0</v>
      </c>
    </row>
    <row r="111" spans="1:15" x14ac:dyDescent="0.35">
      <c r="A111" t="s">
        <v>58</v>
      </c>
      <c r="B111" t="s">
        <v>11</v>
      </c>
      <c r="C111">
        <v>2030</v>
      </c>
      <c r="D111" t="s">
        <v>42</v>
      </c>
      <c r="E111">
        <v>2021</v>
      </c>
      <c r="F111" t="s">
        <v>29</v>
      </c>
      <c r="G111" t="s">
        <v>24</v>
      </c>
      <c r="H111" t="s">
        <v>30</v>
      </c>
      <c r="I111">
        <v>0</v>
      </c>
      <c r="J111">
        <v>0</v>
      </c>
      <c r="K111" t="s">
        <v>18</v>
      </c>
      <c r="L111" t="s">
        <v>18</v>
      </c>
      <c r="M111">
        <v>0</v>
      </c>
      <c r="N111">
        <v>0</v>
      </c>
      <c r="O111">
        <v>0</v>
      </c>
    </row>
    <row r="112" spans="1:15" x14ac:dyDescent="0.35">
      <c r="A112" t="s">
        <v>58</v>
      </c>
      <c r="B112" t="s">
        <v>12</v>
      </c>
      <c r="C112">
        <v>2030</v>
      </c>
      <c r="D112" t="s">
        <v>42</v>
      </c>
      <c r="E112">
        <v>2021</v>
      </c>
      <c r="F112" t="s">
        <v>29</v>
      </c>
      <c r="G112" t="s">
        <v>24</v>
      </c>
      <c r="H112" t="s">
        <v>30</v>
      </c>
      <c r="I112">
        <v>969.95599274144695</v>
      </c>
      <c r="J112">
        <v>37.925860320619996</v>
      </c>
      <c r="K112">
        <v>4.9588584655441501E-3</v>
      </c>
      <c r="L112">
        <v>39.100599000815599</v>
      </c>
      <c r="M112">
        <v>0</v>
      </c>
      <c r="N112">
        <v>0</v>
      </c>
      <c r="O112">
        <v>0</v>
      </c>
    </row>
    <row r="113" spans="1:15" x14ac:dyDescent="0.35">
      <c r="A113" t="s">
        <v>58</v>
      </c>
      <c r="B113" t="s">
        <v>13</v>
      </c>
      <c r="C113">
        <v>2030</v>
      </c>
      <c r="D113" t="s">
        <v>42</v>
      </c>
      <c r="E113">
        <v>2021</v>
      </c>
      <c r="F113" t="s">
        <v>29</v>
      </c>
      <c r="G113" t="s">
        <v>24</v>
      </c>
      <c r="H113" t="s">
        <v>30</v>
      </c>
      <c r="I113">
        <v>0</v>
      </c>
      <c r="J113">
        <v>0</v>
      </c>
      <c r="K113" t="s">
        <v>18</v>
      </c>
      <c r="L113" t="s">
        <v>18</v>
      </c>
      <c r="M113">
        <v>0</v>
      </c>
      <c r="N113">
        <v>0</v>
      </c>
      <c r="O113">
        <v>0</v>
      </c>
    </row>
    <row r="114" spans="1:15" x14ac:dyDescent="0.35">
      <c r="A114" t="s">
        <v>58</v>
      </c>
      <c r="B114" t="s">
        <v>14</v>
      </c>
      <c r="C114">
        <v>2030</v>
      </c>
      <c r="D114" t="s">
        <v>42</v>
      </c>
      <c r="E114">
        <v>2021</v>
      </c>
      <c r="F114" t="s">
        <v>29</v>
      </c>
      <c r="G114" t="s">
        <v>24</v>
      </c>
      <c r="H114" t="s">
        <v>30</v>
      </c>
      <c r="I114">
        <v>0</v>
      </c>
      <c r="J114">
        <v>0</v>
      </c>
      <c r="K114" t="s">
        <v>18</v>
      </c>
      <c r="L114" t="s">
        <v>18</v>
      </c>
      <c r="M114">
        <v>0</v>
      </c>
      <c r="N114">
        <v>0</v>
      </c>
      <c r="O114">
        <v>0</v>
      </c>
    </row>
    <row r="115" spans="1:15" x14ac:dyDescent="0.35">
      <c r="A115" t="s">
        <v>58</v>
      </c>
      <c r="B115" t="s">
        <v>4</v>
      </c>
      <c r="C115">
        <v>2030</v>
      </c>
      <c r="D115" t="s">
        <v>42</v>
      </c>
      <c r="E115">
        <v>2021</v>
      </c>
      <c r="F115" t="s">
        <v>29</v>
      </c>
      <c r="G115" t="s">
        <v>24</v>
      </c>
      <c r="H115" t="s">
        <v>30</v>
      </c>
      <c r="I115">
        <v>0</v>
      </c>
      <c r="J115">
        <v>0</v>
      </c>
      <c r="K115" t="s">
        <v>18</v>
      </c>
      <c r="L115" t="s">
        <v>18</v>
      </c>
      <c r="M115">
        <v>0</v>
      </c>
      <c r="N115">
        <v>0</v>
      </c>
      <c r="O115">
        <v>0</v>
      </c>
    </row>
    <row r="116" spans="1:15" x14ac:dyDescent="0.35">
      <c r="A116" t="s">
        <v>52</v>
      </c>
      <c r="B116" t="s">
        <v>28</v>
      </c>
      <c r="C116">
        <v>2030</v>
      </c>
      <c r="D116" t="s">
        <v>42</v>
      </c>
      <c r="E116">
        <v>2016</v>
      </c>
      <c r="F116" t="s">
        <v>29</v>
      </c>
      <c r="G116" t="s">
        <v>24</v>
      </c>
      <c r="H116" t="s">
        <v>30</v>
      </c>
      <c r="I116">
        <v>96.1614179459539</v>
      </c>
      <c r="J116">
        <v>425.80645161289601</v>
      </c>
      <c r="K116">
        <v>0.56157747668189895</v>
      </c>
      <c r="L116">
        <v>4428.0384036367705</v>
      </c>
      <c r="M116">
        <v>0</v>
      </c>
      <c r="N116">
        <v>0</v>
      </c>
      <c r="O116">
        <v>2.4132656889887898E-2</v>
      </c>
    </row>
    <row r="117" spans="1:15" x14ac:dyDescent="0.35">
      <c r="A117" t="s">
        <v>52</v>
      </c>
      <c r="B117" t="s">
        <v>53</v>
      </c>
      <c r="C117">
        <v>2030</v>
      </c>
      <c r="D117" t="s">
        <v>42</v>
      </c>
      <c r="E117">
        <v>2016</v>
      </c>
      <c r="F117" t="s">
        <v>29</v>
      </c>
      <c r="G117" t="s">
        <v>24</v>
      </c>
      <c r="H117" t="s">
        <v>30</v>
      </c>
      <c r="I117">
        <v>218.45764285069899</v>
      </c>
      <c r="J117">
        <v>862.46629507406203</v>
      </c>
      <c r="K117">
        <v>0.50069492677550298</v>
      </c>
      <c r="L117">
        <v>3947.97949762484</v>
      </c>
      <c r="M117">
        <v>0</v>
      </c>
      <c r="N117">
        <v>0</v>
      </c>
      <c r="O117">
        <v>0</v>
      </c>
    </row>
    <row r="118" spans="1:15" x14ac:dyDescent="0.35">
      <c r="A118" t="s">
        <v>52</v>
      </c>
      <c r="B118" t="s">
        <v>25</v>
      </c>
      <c r="C118">
        <v>2030</v>
      </c>
      <c r="D118" t="s">
        <v>42</v>
      </c>
      <c r="E118">
        <v>2016</v>
      </c>
      <c r="F118" t="s">
        <v>29</v>
      </c>
      <c r="G118" t="s">
        <v>24</v>
      </c>
      <c r="H118" t="s">
        <v>30</v>
      </c>
      <c r="I118">
        <v>19.418457142284399</v>
      </c>
      <c r="J118">
        <v>76.663670673245903</v>
      </c>
      <c r="K118">
        <v>0.50069492677550298</v>
      </c>
      <c r="L118">
        <v>3947.97949762484</v>
      </c>
      <c r="M118">
        <v>9.1849302283005304E-3</v>
      </c>
      <c r="N118" s="10">
        <v>1.15971341266422E-6</v>
      </c>
      <c r="O118">
        <v>0</v>
      </c>
    </row>
    <row r="119" spans="1:15" x14ac:dyDescent="0.35">
      <c r="A119" t="s">
        <v>52</v>
      </c>
      <c r="B119" t="s">
        <v>31</v>
      </c>
      <c r="C119">
        <v>2030</v>
      </c>
      <c r="D119" t="s">
        <v>42</v>
      </c>
      <c r="E119">
        <v>2016</v>
      </c>
      <c r="F119" t="s">
        <v>29</v>
      </c>
      <c r="G119" t="s">
        <v>24</v>
      </c>
      <c r="H119" t="s">
        <v>30</v>
      </c>
      <c r="I119">
        <v>17.309055230271699</v>
      </c>
      <c r="J119">
        <v>76.645161290317105</v>
      </c>
      <c r="K119">
        <v>0.56157747668189895</v>
      </c>
      <c r="L119">
        <v>4428.0384036367705</v>
      </c>
      <c r="M119">
        <v>0</v>
      </c>
      <c r="N119">
        <v>0</v>
      </c>
      <c r="O119">
        <v>0</v>
      </c>
    </row>
    <row r="120" spans="1:15" x14ac:dyDescent="0.35">
      <c r="A120" t="s">
        <v>52</v>
      </c>
      <c r="B120" t="s">
        <v>8</v>
      </c>
      <c r="C120">
        <v>2030</v>
      </c>
      <c r="D120" t="s">
        <v>42</v>
      </c>
      <c r="E120">
        <v>2016</v>
      </c>
      <c r="F120" t="s">
        <v>29</v>
      </c>
      <c r="G120" t="s">
        <v>24</v>
      </c>
      <c r="H120" t="s">
        <v>30</v>
      </c>
      <c r="I120">
        <v>0</v>
      </c>
      <c r="J120">
        <v>0</v>
      </c>
      <c r="K120" t="s">
        <v>18</v>
      </c>
      <c r="L120" t="s">
        <v>18</v>
      </c>
      <c r="M120">
        <v>0</v>
      </c>
      <c r="N120">
        <v>0</v>
      </c>
      <c r="O120">
        <v>0</v>
      </c>
    </row>
    <row r="121" spans="1:15" x14ac:dyDescent="0.35">
      <c r="A121" t="s">
        <v>52</v>
      </c>
      <c r="B121" t="s">
        <v>9</v>
      </c>
      <c r="C121">
        <v>2030</v>
      </c>
      <c r="D121" t="s">
        <v>42</v>
      </c>
      <c r="E121">
        <v>2016</v>
      </c>
      <c r="F121" t="s">
        <v>29</v>
      </c>
      <c r="G121" t="s">
        <v>24</v>
      </c>
      <c r="H121" t="s">
        <v>30</v>
      </c>
      <c r="I121">
        <v>110.21916273960601</v>
      </c>
      <c r="J121">
        <v>435.14299474136499</v>
      </c>
      <c r="K121">
        <v>0.50069492677550298</v>
      </c>
      <c r="L121">
        <v>3947.97949762484</v>
      </c>
      <c r="M121">
        <v>0</v>
      </c>
      <c r="N121">
        <v>0</v>
      </c>
      <c r="O121">
        <v>0</v>
      </c>
    </row>
    <row r="122" spans="1:15" x14ac:dyDescent="0.35">
      <c r="A122" t="s">
        <v>52</v>
      </c>
      <c r="B122" t="s">
        <v>10</v>
      </c>
      <c r="C122">
        <v>2030</v>
      </c>
      <c r="D122" t="s">
        <v>42</v>
      </c>
      <c r="E122">
        <v>2016</v>
      </c>
      <c r="F122" t="s">
        <v>29</v>
      </c>
      <c r="G122" t="s">
        <v>24</v>
      </c>
      <c r="H122" t="s">
        <v>30</v>
      </c>
      <c r="I122">
        <v>150.687227424127</v>
      </c>
      <c r="J122">
        <v>594.910084424405</v>
      </c>
      <c r="K122">
        <v>0.50069492677550298</v>
      </c>
      <c r="L122">
        <v>3947.97949762484</v>
      </c>
      <c r="M122">
        <v>0</v>
      </c>
      <c r="N122">
        <v>0</v>
      </c>
      <c r="O122">
        <v>0</v>
      </c>
    </row>
    <row r="123" spans="1:15" x14ac:dyDescent="0.35">
      <c r="A123" t="s">
        <v>52</v>
      </c>
      <c r="B123" t="s">
        <v>33</v>
      </c>
      <c r="C123">
        <v>2030</v>
      </c>
      <c r="D123" t="s">
        <v>42</v>
      </c>
      <c r="E123">
        <v>2016</v>
      </c>
      <c r="F123" t="s">
        <v>29</v>
      </c>
      <c r="G123" t="s">
        <v>24</v>
      </c>
      <c r="H123" t="s">
        <v>30</v>
      </c>
      <c r="I123">
        <v>263.41860458677297</v>
      </c>
      <c r="J123">
        <v>24.480931053507099</v>
      </c>
      <c r="K123">
        <v>1.17863623430523E-2</v>
      </c>
      <c r="L123">
        <v>92.935467074967605</v>
      </c>
      <c r="M123">
        <v>0</v>
      </c>
      <c r="N123">
        <v>0</v>
      </c>
      <c r="O123">
        <v>0</v>
      </c>
    </row>
    <row r="124" spans="1:15" x14ac:dyDescent="0.35">
      <c r="A124" t="s">
        <v>52</v>
      </c>
      <c r="B124" t="s">
        <v>34</v>
      </c>
      <c r="C124">
        <v>2030</v>
      </c>
      <c r="D124" t="s">
        <v>42</v>
      </c>
      <c r="E124">
        <v>2016</v>
      </c>
      <c r="F124" t="s">
        <v>29</v>
      </c>
      <c r="G124" t="s">
        <v>24</v>
      </c>
      <c r="H124" t="s">
        <v>30</v>
      </c>
      <c r="I124">
        <v>265.528006498786</v>
      </c>
      <c r="J124">
        <v>24.462421670575601</v>
      </c>
      <c r="K124">
        <v>1.16838888126456E-2</v>
      </c>
      <c r="L124">
        <v>92.127463287710597</v>
      </c>
      <c r="M124">
        <v>0</v>
      </c>
      <c r="N124">
        <v>0</v>
      </c>
      <c r="O124">
        <v>0</v>
      </c>
    </row>
    <row r="125" spans="1:15" x14ac:dyDescent="0.35">
      <c r="A125" t="s">
        <v>52</v>
      </c>
      <c r="B125" t="s">
        <v>35</v>
      </c>
      <c r="C125">
        <v>2030</v>
      </c>
      <c r="D125" t="s">
        <v>42</v>
      </c>
      <c r="E125">
        <v>2016</v>
      </c>
      <c r="F125" t="s">
        <v>29</v>
      </c>
      <c r="G125" t="s">
        <v>24</v>
      </c>
      <c r="H125" t="s">
        <v>30</v>
      </c>
      <c r="I125">
        <v>205.659810348126</v>
      </c>
      <c r="J125">
        <v>908.33089906866996</v>
      </c>
      <c r="K125">
        <v>0.56013532113960895</v>
      </c>
      <c r="L125">
        <v>4416.6670071858098</v>
      </c>
      <c r="M125">
        <v>0.205659810348126</v>
      </c>
      <c r="N125" s="10">
        <v>2.59671477712284E-5</v>
      </c>
      <c r="O125">
        <v>0</v>
      </c>
    </row>
    <row r="126" spans="1:15" x14ac:dyDescent="0.35">
      <c r="A126" t="s">
        <v>52</v>
      </c>
      <c r="B126" t="s">
        <v>54</v>
      </c>
      <c r="C126">
        <v>2030</v>
      </c>
      <c r="D126" t="s">
        <v>42</v>
      </c>
      <c r="E126">
        <v>2016</v>
      </c>
      <c r="F126" t="s">
        <v>29</v>
      </c>
      <c r="G126" t="s">
        <v>24</v>
      </c>
      <c r="H126" t="s">
        <v>30</v>
      </c>
      <c r="I126">
        <v>0</v>
      </c>
      <c r="J126">
        <v>0</v>
      </c>
      <c r="K126" t="s">
        <v>18</v>
      </c>
      <c r="L126" t="s">
        <v>18</v>
      </c>
      <c r="M126">
        <v>0</v>
      </c>
      <c r="N126">
        <v>0</v>
      </c>
      <c r="O126">
        <v>0</v>
      </c>
    </row>
    <row r="127" spans="1:15" x14ac:dyDescent="0.35">
      <c r="A127" t="s">
        <v>52</v>
      </c>
      <c r="B127" t="s">
        <v>55</v>
      </c>
      <c r="C127">
        <v>2030</v>
      </c>
      <c r="D127" t="s">
        <v>42</v>
      </c>
      <c r="E127">
        <v>2016</v>
      </c>
      <c r="F127" t="s">
        <v>29</v>
      </c>
      <c r="G127" t="s">
        <v>24</v>
      </c>
      <c r="H127" t="s">
        <v>30</v>
      </c>
      <c r="I127">
        <v>1110.20583762563</v>
      </c>
      <c r="J127">
        <v>4096.1597261705201</v>
      </c>
      <c r="K127">
        <v>0.46792007609383501</v>
      </c>
      <c r="L127">
        <v>3689.5497999998902</v>
      </c>
      <c r="M127">
        <v>190.91099583810299</v>
      </c>
      <c r="N127">
        <v>2.41049237169326E-2</v>
      </c>
      <c r="O127">
        <v>0</v>
      </c>
    </row>
    <row r="128" spans="1:15" x14ac:dyDescent="0.35">
      <c r="A128" t="s">
        <v>52</v>
      </c>
      <c r="B128" t="s">
        <v>56</v>
      </c>
      <c r="C128">
        <v>2030</v>
      </c>
      <c r="D128" t="s">
        <v>42</v>
      </c>
      <c r="E128">
        <v>2016</v>
      </c>
      <c r="F128" t="s">
        <v>29</v>
      </c>
      <c r="G128" t="s">
        <v>24</v>
      </c>
      <c r="H128" t="s">
        <v>30</v>
      </c>
      <c r="I128">
        <v>0</v>
      </c>
      <c r="J128">
        <v>0</v>
      </c>
      <c r="K128" t="s">
        <v>18</v>
      </c>
      <c r="L128" t="s">
        <v>18</v>
      </c>
      <c r="M128">
        <v>0</v>
      </c>
      <c r="N128">
        <v>0</v>
      </c>
      <c r="O128">
        <v>0</v>
      </c>
    </row>
    <row r="129" spans="1:15" x14ac:dyDescent="0.35">
      <c r="A129" t="s">
        <v>52</v>
      </c>
      <c r="B129" t="s">
        <v>57</v>
      </c>
      <c r="C129">
        <v>2030</v>
      </c>
      <c r="D129" t="s">
        <v>42</v>
      </c>
      <c r="E129">
        <v>2016</v>
      </c>
      <c r="F129" t="s">
        <v>29</v>
      </c>
      <c r="G129" t="s">
        <v>24</v>
      </c>
      <c r="H129" t="s">
        <v>30</v>
      </c>
      <c r="I129">
        <v>0</v>
      </c>
      <c r="J129">
        <v>0</v>
      </c>
      <c r="K129" t="s">
        <v>18</v>
      </c>
      <c r="L129" t="s">
        <v>18</v>
      </c>
      <c r="M129">
        <v>0</v>
      </c>
      <c r="N129">
        <v>0</v>
      </c>
      <c r="O129">
        <v>0</v>
      </c>
    </row>
    <row r="130" spans="1:15" x14ac:dyDescent="0.35">
      <c r="A130" t="s">
        <v>52</v>
      </c>
      <c r="B130" t="s">
        <v>11</v>
      </c>
      <c r="C130">
        <v>2030</v>
      </c>
      <c r="D130" t="s">
        <v>42</v>
      </c>
      <c r="E130">
        <v>2016</v>
      </c>
      <c r="F130" t="s">
        <v>29</v>
      </c>
      <c r="G130" t="s">
        <v>24</v>
      </c>
      <c r="H130" t="s">
        <v>30</v>
      </c>
      <c r="I130">
        <v>0</v>
      </c>
      <c r="J130">
        <v>0</v>
      </c>
      <c r="K130" t="s">
        <v>18</v>
      </c>
      <c r="L130" t="s">
        <v>18</v>
      </c>
      <c r="M130">
        <v>0</v>
      </c>
      <c r="N130">
        <v>0</v>
      </c>
      <c r="O130">
        <v>0</v>
      </c>
    </row>
    <row r="131" spans="1:15" x14ac:dyDescent="0.35">
      <c r="A131" t="s">
        <v>52</v>
      </c>
      <c r="B131" t="s">
        <v>12</v>
      </c>
      <c r="C131">
        <v>2030</v>
      </c>
      <c r="D131" t="s">
        <v>42</v>
      </c>
      <c r="E131">
        <v>2016</v>
      </c>
      <c r="F131" t="s">
        <v>29</v>
      </c>
      <c r="G131" t="s">
        <v>24</v>
      </c>
      <c r="H131" t="s">
        <v>30</v>
      </c>
      <c r="I131">
        <v>1011.4229076686599</v>
      </c>
      <c r="J131">
        <v>59.664578443712401</v>
      </c>
      <c r="K131">
        <v>7.4813865250728598E-3</v>
      </c>
      <c r="L131">
        <v>58.990732750199498</v>
      </c>
      <c r="M131">
        <v>0</v>
      </c>
      <c r="N131">
        <v>0</v>
      </c>
      <c r="O131">
        <v>0</v>
      </c>
    </row>
    <row r="132" spans="1:15" x14ac:dyDescent="0.35">
      <c r="A132" t="s">
        <v>52</v>
      </c>
      <c r="B132" t="s">
        <v>13</v>
      </c>
      <c r="C132">
        <v>2030</v>
      </c>
      <c r="D132" t="s">
        <v>42</v>
      </c>
      <c r="E132">
        <v>2016</v>
      </c>
      <c r="F132" t="s">
        <v>29</v>
      </c>
      <c r="G132" t="s">
        <v>24</v>
      </c>
      <c r="H132" t="s">
        <v>30</v>
      </c>
      <c r="I132">
        <v>92.686255783995307</v>
      </c>
      <c r="J132">
        <v>18.6320404490898</v>
      </c>
      <c r="K132">
        <v>2.54943170376766E-2</v>
      </c>
      <c r="L132">
        <v>201.02268984208001</v>
      </c>
      <c r="M132">
        <v>0</v>
      </c>
      <c r="N132">
        <v>0</v>
      </c>
      <c r="O132">
        <v>0</v>
      </c>
    </row>
    <row r="133" spans="1:15" x14ac:dyDescent="0.35">
      <c r="A133" t="s">
        <v>52</v>
      </c>
      <c r="B133" t="s">
        <v>14</v>
      </c>
      <c r="C133">
        <v>2030</v>
      </c>
      <c r="D133" t="s">
        <v>42</v>
      </c>
      <c r="E133">
        <v>2016</v>
      </c>
      <c r="F133" t="s">
        <v>29</v>
      </c>
      <c r="G133" t="s">
        <v>24</v>
      </c>
      <c r="H133" t="s">
        <v>30</v>
      </c>
      <c r="I133">
        <v>277.037840184532</v>
      </c>
      <c r="J133">
        <v>18.6320404490897</v>
      </c>
      <c r="K133">
        <v>8.5294225092805206E-3</v>
      </c>
      <c r="L133">
        <v>67.254496485676896</v>
      </c>
      <c r="M133">
        <v>0</v>
      </c>
      <c r="N133">
        <v>0</v>
      </c>
      <c r="O133">
        <v>0</v>
      </c>
    </row>
    <row r="134" spans="1:15" x14ac:dyDescent="0.35">
      <c r="A134" t="s">
        <v>52</v>
      </c>
      <c r="B134" t="s">
        <v>4</v>
      </c>
      <c r="C134">
        <v>2030</v>
      </c>
      <c r="D134" t="s">
        <v>42</v>
      </c>
      <c r="E134">
        <v>2016</v>
      </c>
      <c r="F134" t="s">
        <v>29</v>
      </c>
      <c r="G134" t="s">
        <v>24</v>
      </c>
      <c r="H134" t="s">
        <v>30</v>
      </c>
      <c r="I134">
        <v>277.037840184532</v>
      </c>
      <c r="J134">
        <v>1041.4386421905399</v>
      </c>
      <c r="K134">
        <v>0.476752410505213</v>
      </c>
      <c r="L134">
        <v>3759.1927568336</v>
      </c>
      <c r="M134">
        <v>4.8019892298652202E-3</v>
      </c>
      <c r="N134" s="10">
        <v>6.0631177144763801E-7</v>
      </c>
      <c r="O134">
        <v>0</v>
      </c>
    </row>
    <row r="135" spans="1:15" x14ac:dyDescent="0.35">
      <c r="A135" t="s">
        <v>52</v>
      </c>
      <c r="B135" t="s">
        <v>28</v>
      </c>
      <c r="C135">
        <v>2030</v>
      </c>
      <c r="D135" t="s">
        <v>42</v>
      </c>
      <c r="E135">
        <v>2017</v>
      </c>
      <c r="F135" t="s">
        <v>29</v>
      </c>
      <c r="G135" t="s">
        <v>24</v>
      </c>
      <c r="H135" t="s">
        <v>30</v>
      </c>
      <c r="I135">
        <v>83.628262974111394</v>
      </c>
      <c r="J135">
        <v>425.80645161289601</v>
      </c>
      <c r="K135">
        <v>0.645739664124927</v>
      </c>
      <c r="L135">
        <v>5091.6572516250499</v>
      </c>
      <c r="M135">
        <v>0</v>
      </c>
      <c r="N135">
        <v>0</v>
      </c>
      <c r="O135">
        <v>2.0832041762820799E-2</v>
      </c>
    </row>
    <row r="136" spans="1:15" x14ac:dyDescent="0.35">
      <c r="A136" t="s">
        <v>52</v>
      </c>
      <c r="B136" t="s">
        <v>53</v>
      </c>
      <c r="C136">
        <v>2030</v>
      </c>
      <c r="D136" t="s">
        <v>42</v>
      </c>
      <c r="E136">
        <v>2017</v>
      </c>
      <c r="F136" t="s">
        <v>29</v>
      </c>
      <c r="G136" t="s">
        <v>24</v>
      </c>
      <c r="H136" t="s">
        <v>30</v>
      </c>
      <c r="I136">
        <v>193.27424532323101</v>
      </c>
      <c r="J136">
        <v>862.45566872531901</v>
      </c>
      <c r="K136">
        <v>0.56592788988242904</v>
      </c>
      <c r="L136">
        <v>4462.3414117229504</v>
      </c>
      <c r="M136">
        <v>0</v>
      </c>
      <c r="N136">
        <v>0</v>
      </c>
      <c r="O136">
        <v>0</v>
      </c>
    </row>
    <row r="137" spans="1:15" x14ac:dyDescent="0.35">
      <c r="A137" t="s">
        <v>52</v>
      </c>
      <c r="B137" t="s">
        <v>25</v>
      </c>
      <c r="C137">
        <v>2030</v>
      </c>
      <c r="D137" t="s">
        <v>42</v>
      </c>
      <c r="E137">
        <v>2017</v>
      </c>
      <c r="F137" t="s">
        <v>29</v>
      </c>
      <c r="G137" t="s">
        <v>24</v>
      </c>
      <c r="H137" t="s">
        <v>30</v>
      </c>
      <c r="I137">
        <v>17.179932917620501</v>
      </c>
      <c r="J137">
        <v>76.662726108918804</v>
      </c>
      <c r="K137">
        <v>0.56592788988242904</v>
      </c>
      <c r="L137">
        <v>4462.3414117229504</v>
      </c>
      <c r="M137">
        <v>8.1261082700345103E-3</v>
      </c>
      <c r="N137" s="10">
        <v>1.0260237714690099E-6</v>
      </c>
      <c r="O137">
        <v>0</v>
      </c>
    </row>
    <row r="138" spans="1:15" x14ac:dyDescent="0.35">
      <c r="A138" t="s">
        <v>52</v>
      </c>
      <c r="B138" t="s">
        <v>31</v>
      </c>
      <c r="C138">
        <v>2030</v>
      </c>
      <c r="D138" t="s">
        <v>42</v>
      </c>
      <c r="E138">
        <v>2017</v>
      </c>
      <c r="F138" t="s">
        <v>29</v>
      </c>
      <c r="G138" t="s">
        <v>24</v>
      </c>
      <c r="H138" t="s">
        <v>30</v>
      </c>
      <c r="I138">
        <v>15.053087335340001</v>
      </c>
      <c r="J138">
        <v>76.645161290325802</v>
      </c>
      <c r="K138">
        <v>0.645739664124927</v>
      </c>
      <c r="L138">
        <v>5091.6572516250499</v>
      </c>
      <c r="M138">
        <v>0</v>
      </c>
      <c r="N138">
        <v>0</v>
      </c>
      <c r="O138">
        <v>0</v>
      </c>
    </row>
    <row r="139" spans="1:15" x14ac:dyDescent="0.35">
      <c r="A139" t="s">
        <v>52</v>
      </c>
      <c r="B139" t="s">
        <v>8</v>
      </c>
      <c r="C139">
        <v>2030</v>
      </c>
      <c r="D139" t="s">
        <v>42</v>
      </c>
      <c r="E139">
        <v>2017</v>
      </c>
      <c r="F139" t="s">
        <v>29</v>
      </c>
      <c r="G139" t="s">
        <v>24</v>
      </c>
      <c r="H139" t="s">
        <v>30</v>
      </c>
      <c r="I139">
        <v>0</v>
      </c>
      <c r="J139">
        <v>0</v>
      </c>
      <c r="K139" t="s">
        <v>18</v>
      </c>
      <c r="L139" t="s">
        <v>18</v>
      </c>
      <c r="M139">
        <v>0</v>
      </c>
      <c r="N139">
        <v>0</v>
      </c>
      <c r="O139">
        <v>0</v>
      </c>
    </row>
    <row r="140" spans="1:15" x14ac:dyDescent="0.35">
      <c r="A140" t="s">
        <v>52</v>
      </c>
      <c r="B140" t="s">
        <v>9</v>
      </c>
      <c r="C140">
        <v>2030</v>
      </c>
      <c r="D140" t="s">
        <v>42</v>
      </c>
      <c r="E140">
        <v>2017</v>
      </c>
      <c r="F140" t="s">
        <v>29</v>
      </c>
      <c r="G140" t="s">
        <v>24</v>
      </c>
      <c r="H140" t="s">
        <v>30</v>
      </c>
      <c r="I140">
        <v>97.513299240414099</v>
      </c>
      <c r="J140">
        <v>435.137633394224</v>
      </c>
      <c r="K140">
        <v>0.56592788988242904</v>
      </c>
      <c r="L140">
        <v>4462.3414117229504</v>
      </c>
      <c r="M140">
        <v>0</v>
      </c>
      <c r="N140">
        <v>0</v>
      </c>
      <c r="O140">
        <v>0</v>
      </c>
    </row>
    <row r="141" spans="1:15" x14ac:dyDescent="0.35">
      <c r="A141" t="s">
        <v>52</v>
      </c>
      <c r="B141" t="s">
        <v>10</v>
      </c>
      <c r="C141">
        <v>2030</v>
      </c>
      <c r="D141" t="s">
        <v>42</v>
      </c>
      <c r="E141">
        <v>2017</v>
      </c>
      <c r="F141" t="s">
        <v>29</v>
      </c>
      <c r="G141" t="s">
        <v>24</v>
      </c>
      <c r="H141" t="s">
        <v>30</v>
      </c>
      <c r="I141">
        <v>133.316279440735</v>
      </c>
      <c r="J141">
        <v>594.90275460524595</v>
      </c>
      <c r="K141">
        <v>0.56592788988242904</v>
      </c>
      <c r="L141">
        <v>4462.3414117229504</v>
      </c>
      <c r="M141">
        <v>0</v>
      </c>
      <c r="N141">
        <v>0</v>
      </c>
      <c r="O141">
        <v>0</v>
      </c>
    </row>
    <row r="142" spans="1:15" x14ac:dyDescent="0.35">
      <c r="A142" t="s">
        <v>52</v>
      </c>
      <c r="B142" t="s">
        <v>33</v>
      </c>
      <c r="C142">
        <v>2030</v>
      </c>
      <c r="D142" t="s">
        <v>42</v>
      </c>
      <c r="E142">
        <v>2017</v>
      </c>
      <c r="F142" t="s">
        <v>29</v>
      </c>
      <c r="G142" t="s">
        <v>24</v>
      </c>
      <c r="H142" t="s">
        <v>30</v>
      </c>
      <c r="I142">
        <v>928.43188572175802</v>
      </c>
      <c r="J142">
        <v>20.251947185834201</v>
      </c>
      <c r="K142">
        <v>2.7664004156639698E-3</v>
      </c>
      <c r="L142">
        <v>21.813067277510399</v>
      </c>
      <c r="M142">
        <v>0</v>
      </c>
      <c r="N142">
        <v>0</v>
      </c>
      <c r="O142">
        <v>0</v>
      </c>
    </row>
    <row r="143" spans="1:15" x14ac:dyDescent="0.35">
      <c r="A143" t="s">
        <v>52</v>
      </c>
      <c r="B143" t="s">
        <v>34</v>
      </c>
      <c r="C143">
        <v>2030</v>
      </c>
      <c r="D143" t="s">
        <v>42</v>
      </c>
      <c r="E143">
        <v>2017</v>
      </c>
      <c r="F143" t="s">
        <v>29</v>
      </c>
      <c r="G143" t="s">
        <v>24</v>
      </c>
      <c r="H143" t="s">
        <v>30</v>
      </c>
      <c r="I143">
        <v>943.48497305709805</v>
      </c>
      <c r="J143">
        <v>20.234382367243601</v>
      </c>
      <c r="K143">
        <v>2.7199020688547602E-3</v>
      </c>
      <c r="L143">
        <v>21.446427812919801</v>
      </c>
      <c r="M143">
        <v>0</v>
      </c>
      <c r="N143">
        <v>0</v>
      </c>
      <c r="O143">
        <v>0</v>
      </c>
    </row>
    <row r="144" spans="1:15" x14ac:dyDescent="0.35">
      <c r="A144" t="s">
        <v>52</v>
      </c>
      <c r="B144" t="s">
        <v>35</v>
      </c>
      <c r="C144">
        <v>2030</v>
      </c>
      <c r="D144" t="s">
        <v>42</v>
      </c>
      <c r="E144">
        <v>2017</v>
      </c>
      <c r="F144" t="s">
        <v>29</v>
      </c>
      <c r="G144" t="s">
        <v>24</v>
      </c>
      <c r="H144" t="s">
        <v>30</v>
      </c>
      <c r="I144">
        <v>195.16465100984399</v>
      </c>
      <c r="J144">
        <v>851.84327340789696</v>
      </c>
      <c r="K144">
        <v>0.55354998246838405</v>
      </c>
      <c r="L144">
        <v>4364.7416117632101</v>
      </c>
      <c r="M144">
        <v>0.19516465100984401</v>
      </c>
      <c r="N144" s="10">
        <v>2.46420013901322E-5</v>
      </c>
      <c r="O144">
        <v>0</v>
      </c>
    </row>
    <row r="145" spans="1:15" x14ac:dyDescent="0.35">
      <c r="A145" t="s">
        <v>52</v>
      </c>
      <c r="B145" t="s">
        <v>54</v>
      </c>
      <c r="C145">
        <v>2030</v>
      </c>
      <c r="D145" t="s">
        <v>42</v>
      </c>
      <c r="E145">
        <v>2017</v>
      </c>
      <c r="F145" t="s">
        <v>29</v>
      </c>
      <c r="G145" t="s">
        <v>24</v>
      </c>
      <c r="H145" t="s">
        <v>30</v>
      </c>
      <c r="I145">
        <v>0</v>
      </c>
      <c r="J145">
        <v>0</v>
      </c>
      <c r="K145" t="s">
        <v>18</v>
      </c>
      <c r="L145" t="s">
        <v>18</v>
      </c>
      <c r="M145">
        <v>0</v>
      </c>
      <c r="N145">
        <v>0</v>
      </c>
      <c r="O145">
        <v>0</v>
      </c>
    </row>
    <row r="146" spans="1:15" x14ac:dyDescent="0.35">
      <c r="A146" t="s">
        <v>52</v>
      </c>
      <c r="B146" t="s">
        <v>55</v>
      </c>
      <c r="C146">
        <v>2030</v>
      </c>
      <c r="D146" t="s">
        <v>42</v>
      </c>
      <c r="E146">
        <v>2017</v>
      </c>
      <c r="F146" t="s">
        <v>29</v>
      </c>
      <c r="G146" t="s">
        <v>24</v>
      </c>
      <c r="H146" t="s">
        <v>30</v>
      </c>
      <c r="I146">
        <v>958.27230622821298</v>
      </c>
      <c r="J146">
        <v>4058.10497822767</v>
      </c>
      <c r="K146">
        <v>0.53707216233352595</v>
      </c>
      <c r="L146">
        <v>4234.8139999998502</v>
      </c>
      <c r="M146">
        <v>164.78450577900301</v>
      </c>
      <c r="N146">
        <v>2.0806124467046199E-2</v>
      </c>
      <c r="O146">
        <v>0</v>
      </c>
    </row>
    <row r="147" spans="1:15" x14ac:dyDescent="0.35">
      <c r="A147" t="s">
        <v>52</v>
      </c>
      <c r="B147" t="s">
        <v>56</v>
      </c>
      <c r="C147">
        <v>2030</v>
      </c>
      <c r="D147" t="s">
        <v>42</v>
      </c>
      <c r="E147">
        <v>2017</v>
      </c>
      <c r="F147" t="s">
        <v>29</v>
      </c>
      <c r="G147" t="s">
        <v>24</v>
      </c>
      <c r="H147" t="s">
        <v>30</v>
      </c>
      <c r="I147">
        <v>0</v>
      </c>
      <c r="J147">
        <v>0</v>
      </c>
      <c r="K147" t="s">
        <v>18</v>
      </c>
      <c r="L147" t="s">
        <v>18</v>
      </c>
      <c r="M147">
        <v>0</v>
      </c>
      <c r="N147">
        <v>0</v>
      </c>
      <c r="O147">
        <v>0</v>
      </c>
    </row>
    <row r="148" spans="1:15" x14ac:dyDescent="0.35">
      <c r="A148" t="s">
        <v>52</v>
      </c>
      <c r="B148" t="s">
        <v>57</v>
      </c>
      <c r="C148">
        <v>2030</v>
      </c>
      <c r="D148" t="s">
        <v>42</v>
      </c>
      <c r="E148">
        <v>2017</v>
      </c>
      <c r="F148" t="s">
        <v>29</v>
      </c>
      <c r="G148" t="s">
        <v>24</v>
      </c>
      <c r="H148" t="s">
        <v>30</v>
      </c>
      <c r="I148">
        <v>0</v>
      </c>
      <c r="J148">
        <v>0</v>
      </c>
      <c r="K148" t="s">
        <v>18</v>
      </c>
      <c r="L148" t="s">
        <v>18</v>
      </c>
      <c r="M148">
        <v>0</v>
      </c>
      <c r="N148">
        <v>0</v>
      </c>
      <c r="O148">
        <v>0</v>
      </c>
    </row>
    <row r="149" spans="1:15" x14ac:dyDescent="0.35">
      <c r="A149" t="s">
        <v>52</v>
      </c>
      <c r="B149" t="s">
        <v>11</v>
      </c>
      <c r="C149">
        <v>2030</v>
      </c>
      <c r="D149" t="s">
        <v>42</v>
      </c>
      <c r="E149">
        <v>2017</v>
      </c>
      <c r="F149" t="s">
        <v>29</v>
      </c>
      <c r="G149" t="s">
        <v>24</v>
      </c>
      <c r="H149" t="s">
        <v>30</v>
      </c>
      <c r="I149">
        <v>0</v>
      </c>
      <c r="J149">
        <v>0</v>
      </c>
      <c r="K149" t="s">
        <v>18</v>
      </c>
      <c r="L149" t="s">
        <v>18</v>
      </c>
      <c r="M149">
        <v>0</v>
      </c>
      <c r="N149">
        <v>0</v>
      </c>
      <c r="O149">
        <v>0</v>
      </c>
    </row>
    <row r="150" spans="1:15" x14ac:dyDescent="0.35">
      <c r="A150" t="s">
        <v>52</v>
      </c>
      <c r="B150" t="s">
        <v>12</v>
      </c>
      <c r="C150">
        <v>2030</v>
      </c>
      <c r="D150" t="s">
        <v>42</v>
      </c>
      <c r="E150">
        <v>2017</v>
      </c>
      <c r="F150" t="s">
        <v>29</v>
      </c>
      <c r="G150" t="s">
        <v>24</v>
      </c>
      <c r="H150" t="s">
        <v>30</v>
      </c>
      <c r="I150">
        <v>537.36635117569904</v>
      </c>
      <c r="J150">
        <v>26.5669188975303</v>
      </c>
      <c r="K150">
        <v>6.2700214130775598E-3</v>
      </c>
      <c r="L150">
        <v>49.439118842116599</v>
      </c>
      <c r="M150">
        <v>0</v>
      </c>
      <c r="N150">
        <v>0</v>
      </c>
      <c r="O150">
        <v>0</v>
      </c>
    </row>
    <row r="151" spans="1:15" x14ac:dyDescent="0.35">
      <c r="A151" t="s">
        <v>52</v>
      </c>
      <c r="B151" t="s">
        <v>13</v>
      </c>
      <c r="C151">
        <v>2030</v>
      </c>
      <c r="D151" t="s">
        <v>42</v>
      </c>
      <c r="E151">
        <v>2017</v>
      </c>
      <c r="F151" t="s">
        <v>29</v>
      </c>
      <c r="G151" t="s">
        <v>24</v>
      </c>
      <c r="H151" t="s">
        <v>30</v>
      </c>
      <c r="I151">
        <v>99.913788041078305</v>
      </c>
      <c r="J151">
        <v>9.2842635379434402</v>
      </c>
      <c r="K151">
        <v>1.17847490043065E-2</v>
      </c>
      <c r="L151">
        <v>92.922745898957402</v>
      </c>
      <c r="M151">
        <v>0</v>
      </c>
      <c r="N151">
        <v>0</v>
      </c>
      <c r="O151">
        <v>0</v>
      </c>
    </row>
    <row r="152" spans="1:15" x14ac:dyDescent="0.35">
      <c r="A152" t="s">
        <v>52</v>
      </c>
      <c r="B152" t="s">
        <v>14</v>
      </c>
      <c r="C152">
        <v>2030</v>
      </c>
      <c r="D152" t="s">
        <v>42</v>
      </c>
      <c r="E152">
        <v>2017</v>
      </c>
      <c r="F152" t="s">
        <v>29</v>
      </c>
      <c r="G152" t="s">
        <v>24</v>
      </c>
      <c r="H152" t="s">
        <v>30</v>
      </c>
      <c r="I152">
        <v>113.89749548898099</v>
      </c>
      <c r="J152">
        <v>9.2842635379434295</v>
      </c>
      <c r="K152">
        <v>1.0337882401000699E-2</v>
      </c>
      <c r="L152">
        <v>81.514202731891004</v>
      </c>
      <c r="M152">
        <v>0</v>
      </c>
      <c r="N152">
        <v>0</v>
      </c>
      <c r="O152">
        <v>0</v>
      </c>
    </row>
    <row r="153" spans="1:15" x14ac:dyDescent="0.35">
      <c r="A153" t="s">
        <v>52</v>
      </c>
      <c r="B153" t="s">
        <v>4</v>
      </c>
      <c r="C153">
        <v>2030</v>
      </c>
      <c r="D153" t="s">
        <v>42</v>
      </c>
      <c r="E153">
        <v>2017</v>
      </c>
      <c r="F153" t="s">
        <v>29</v>
      </c>
      <c r="G153" t="s">
        <v>24</v>
      </c>
      <c r="H153" t="s">
        <v>30</v>
      </c>
      <c r="I153">
        <v>113.89749548898099</v>
      </c>
      <c r="J153">
        <v>455.61343973210802</v>
      </c>
      <c r="K153">
        <v>0.50731844707084295</v>
      </c>
      <c r="L153">
        <v>4000.2059551535999</v>
      </c>
      <c r="M153">
        <v>1.9742232551423402E-3</v>
      </c>
      <c r="N153" s="10">
        <v>2.4927061302302602E-7</v>
      </c>
      <c r="O153">
        <v>0</v>
      </c>
    </row>
    <row r="154" spans="1:15" x14ac:dyDescent="0.35">
      <c r="A154" t="s">
        <v>52</v>
      </c>
      <c r="B154" t="s">
        <v>28</v>
      </c>
      <c r="C154">
        <v>2030</v>
      </c>
      <c r="D154" t="s">
        <v>42</v>
      </c>
      <c r="E154">
        <v>2018</v>
      </c>
      <c r="F154" t="s">
        <v>29</v>
      </c>
      <c r="G154" t="s">
        <v>24</v>
      </c>
      <c r="H154" t="s">
        <v>30</v>
      </c>
      <c r="I154">
        <v>93.714204554132607</v>
      </c>
      <c r="J154">
        <v>425.80645161289402</v>
      </c>
      <c r="K154">
        <v>0.57624227512972004</v>
      </c>
      <c r="L154">
        <v>4543.6703393978396</v>
      </c>
      <c r="M154">
        <v>0</v>
      </c>
      <c r="N154">
        <v>0</v>
      </c>
      <c r="O154">
        <v>2.4214171491229699E-2</v>
      </c>
    </row>
    <row r="155" spans="1:15" x14ac:dyDescent="0.35">
      <c r="A155" t="s">
        <v>52</v>
      </c>
      <c r="B155" t="s">
        <v>53</v>
      </c>
      <c r="C155">
        <v>2030</v>
      </c>
      <c r="D155" t="s">
        <v>42</v>
      </c>
      <c r="E155">
        <v>2018</v>
      </c>
      <c r="F155" t="s">
        <v>29</v>
      </c>
      <c r="G155" t="s">
        <v>24</v>
      </c>
      <c r="H155" t="s">
        <v>30</v>
      </c>
      <c r="I155">
        <v>220.47583712286601</v>
      </c>
      <c r="J155">
        <v>862.50699574898499</v>
      </c>
      <c r="K155">
        <v>0.49613507177545502</v>
      </c>
      <c r="L155">
        <v>3912.0250409494602</v>
      </c>
      <c r="M155">
        <v>0</v>
      </c>
      <c r="N155">
        <v>0</v>
      </c>
      <c r="O155">
        <v>0</v>
      </c>
    </row>
    <row r="156" spans="1:15" x14ac:dyDescent="0.35">
      <c r="A156" t="s">
        <v>52</v>
      </c>
      <c r="B156" t="s">
        <v>25</v>
      </c>
      <c r="C156">
        <v>2030</v>
      </c>
      <c r="D156" t="s">
        <v>42</v>
      </c>
      <c r="E156">
        <v>2018</v>
      </c>
      <c r="F156" t="s">
        <v>29</v>
      </c>
      <c r="G156" t="s">
        <v>24</v>
      </c>
      <c r="H156" t="s">
        <v>30</v>
      </c>
      <c r="I156">
        <v>19.5978521886992</v>
      </c>
      <c r="J156">
        <v>76.667288511018697</v>
      </c>
      <c r="K156">
        <v>0.49613507177545502</v>
      </c>
      <c r="L156">
        <v>3912.0250409494602</v>
      </c>
      <c r="M156">
        <v>9.26978408525473E-3</v>
      </c>
      <c r="N156" s="10">
        <v>1.1704272834917799E-6</v>
      </c>
      <c r="O156">
        <v>0</v>
      </c>
    </row>
    <row r="157" spans="1:15" x14ac:dyDescent="0.35">
      <c r="A157" t="s">
        <v>52</v>
      </c>
      <c r="B157" t="s">
        <v>31</v>
      </c>
      <c r="C157">
        <v>2030</v>
      </c>
      <c r="D157" t="s">
        <v>42</v>
      </c>
      <c r="E157">
        <v>2018</v>
      </c>
      <c r="F157" t="s">
        <v>29</v>
      </c>
      <c r="G157" t="s">
        <v>24</v>
      </c>
      <c r="H157" t="s">
        <v>30</v>
      </c>
      <c r="I157">
        <v>16.868556819743802</v>
      </c>
      <c r="J157">
        <v>76.645161290313595</v>
      </c>
      <c r="K157">
        <v>0.57624227512972004</v>
      </c>
      <c r="L157">
        <v>4543.6703393978396</v>
      </c>
      <c r="M157">
        <v>0</v>
      </c>
      <c r="N157">
        <v>0</v>
      </c>
      <c r="O157">
        <v>0</v>
      </c>
    </row>
    <row r="158" spans="1:15" x14ac:dyDescent="0.35">
      <c r="A158" t="s">
        <v>52</v>
      </c>
      <c r="B158" t="s">
        <v>8</v>
      </c>
      <c r="C158">
        <v>2030</v>
      </c>
      <c r="D158" t="s">
        <v>42</v>
      </c>
      <c r="E158">
        <v>2018</v>
      </c>
      <c r="F158" t="s">
        <v>29</v>
      </c>
      <c r="G158" t="s">
        <v>24</v>
      </c>
      <c r="H158" t="s">
        <v>30</v>
      </c>
      <c r="I158">
        <v>0</v>
      </c>
      <c r="J158">
        <v>0</v>
      </c>
      <c r="K158" t="s">
        <v>18</v>
      </c>
      <c r="L158" t="s">
        <v>18</v>
      </c>
      <c r="M158">
        <v>0</v>
      </c>
      <c r="N158">
        <v>0</v>
      </c>
      <c r="O158">
        <v>0</v>
      </c>
    </row>
    <row r="159" spans="1:15" x14ac:dyDescent="0.35">
      <c r="A159" t="s">
        <v>52</v>
      </c>
      <c r="B159" t="s">
        <v>9</v>
      </c>
      <c r="C159">
        <v>2030</v>
      </c>
      <c r="D159" t="s">
        <v>42</v>
      </c>
      <c r="E159">
        <v>2018</v>
      </c>
      <c r="F159" t="s">
        <v>29</v>
      </c>
      <c r="G159" t="s">
        <v>24</v>
      </c>
      <c r="H159" t="s">
        <v>30</v>
      </c>
      <c r="I159">
        <v>111.237409023056</v>
      </c>
      <c r="J159">
        <v>435.16352958852298</v>
      </c>
      <c r="K159">
        <v>0.49613507177545502</v>
      </c>
      <c r="L159">
        <v>3912.0250409494602</v>
      </c>
      <c r="M159">
        <v>0</v>
      </c>
      <c r="N159">
        <v>0</v>
      </c>
      <c r="O159">
        <v>0</v>
      </c>
    </row>
    <row r="160" spans="1:15" x14ac:dyDescent="0.35">
      <c r="A160" t="s">
        <v>52</v>
      </c>
      <c r="B160" t="s">
        <v>10</v>
      </c>
      <c r="C160">
        <v>2030</v>
      </c>
      <c r="D160" t="s">
        <v>42</v>
      </c>
      <c r="E160">
        <v>2018</v>
      </c>
      <c r="F160" t="s">
        <v>29</v>
      </c>
      <c r="G160" t="s">
        <v>24</v>
      </c>
      <c r="H160" t="s">
        <v>30</v>
      </c>
      <c r="I160">
        <v>152.07933298430501</v>
      </c>
      <c r="J160">
        <v>594.93815884551304</v>
      </c>
      <c r="K160">
        <v>0.49613507177545502</v>
      </c>
      <c r="L160">
        <v>3912.0250409494602</v>
      </c>
      <c r="M160">
        <v>0</v>
      </c>
      <c r="N160">
        <v>0</v>
      </c>
      <c r="O160">
        <v>0</v>
      </c>
    </row>
    <row r="161" spans="1:15" x14ac:dyDescent="0.35">
      <c r="A161" t="s">
        <v>52</v>
      </c>
      <c r="B161" t="s">
        <v>33</v>
      </c>
      <c r="C161">
        <v>2030</v>
      </c>
      <c r="D161" t="s">
        <v>42</v>
      </c>
      <c r="E161">
        <v>2018</v>
      </c>
      <c r="F161" t="s">
        <v>29</v>
      </c>
      <c r="G161" t="s">
        <v>24</v>
      </c>
      <c r="H161" t="s">
        <v>30</v>
      </c>
      <c r="I161">
        <v>1044.46594565805</v>
      </c>
      <c r="J161">
        <v>16.707255957153201</v>
      </c>
      <c r="K161">
        <v>2.0286594289941101E-3</v>
      </c>
      <c r="L161">
        <v>15.9959795976186</v>
      </c>
      <c r="M161">
        <v>0</v>
      </c>
      <c r="N161">
        <v>0</v>
      </c>
      <c r="O161">
        <v>0</v>
      </c>
    </row>
    <row r="162" spans="1:15" x14ac:dyDescent="0.35">
      <c r="A162" t="s">
        <v>52</v>
      </c>
      <c r="B162" t="s">
        <v>34</v>
      </c>
      <c r="C162">
        <v>2030</v>
      </c>
      <c r="D162" t="s">
        <v>42</v>
      </c>
      <c r="E162">
        <v>2018</v>
      </c>
      <c r="F162" t="s">
        <v>29</v>
      </c>
      <c r="G162" t="s">
        <v>24</v>
      </c>
      <c r="H162" t="s">
        <v>30</v>
      </c>
      <c r="I162">
        <v>1061.33450247779</v>
      </c>
      <c r="J162">
        <v>16.685128736455098</v>
      </c>
      <c r="K162">
        <v>1.9937724079087801E-3</v>
      </c>
      <c r="L162">
        <v>15.720895436360699</v>
      </c>
      <c r="M162">
        <v>0</v>
      </c>
      <c r="N162">
        <v>0</v>
      </c>
      <c r="O162">
        <v>0</v>
      </c>
    </row>
    <row r="163" spans="1:15" x14ac:dyDescent="0.35">
      <c r="A163" t="s">
        <v>52</v>
      </c>
      <c r="B163" t="s">
        <v>35</v>
      </c>
      <c r="C163">
        <v>2030</v>
      </c>
      <c r="D163" t="s">
        <v>42</v>
      </c>
      <c r="E163">
        <v>2018</v>
      </c>
      <c r="F163" t="s">
        <v>29</v>
      </c>
      <c r="G163" t="s">
        <v>24</v>
      </c>
      <c r="H163" t="s">
        <v>30</v>
      </c>
      <c r="I163">
        <v>245.858007765178</v>
      </c>
      <c r="J163">
        <v>1061.7286431503001</v>
      </c>
      <c r="K163">
        <v>0.54768075192899701</v>
      </c>
      <c r="L163">
        <v>4318.4627289601403</v>
      </c>
      <c r="M163">
        <v>0.24585800776517799</v>
      </c>
      <c r="N163" s="10">
        <v>3.1042677748129102E-5</v>
      </c>
      <c r="O163">
        <v>0</v>
      </c>
    </row>
    <row r="164" spans="1:15" x14ac:dyDescent="0.35">
      <c r="A164" t="s">
        <v>52</v>
      </c>
      <c r="B164" t="s">
        <v>54</v>
      </c>
      <c r="C164">
        <v>2030</v>
      </c>
      <c r="D164" t="s">
        <v>42</v>
      </c>
      <c r="E164">
        <v>2018</v>
      </c>
      <c r="F164" t="s">
        <v>29</v>
      </c>
      <c r="G164" t="s">
        <v>24</v>
      </c>
      <c r="H164" t="s">
        <v>30</v>
      </c>
      <c r="I164">
        <v>0</v>
      </c>
      <c r="J164">
        <v>0</v>
      </c>
      <c r="K164" t="s">
        <v>18</v>
      </c>
      <c r="L164" t="s">
        <v>18</v>
      </c>
      <c r="M164">
        <v>0</v>
      </c>
      <c r="N164">
        <v>0</v>
      </c>
      <c r="O164">
        <v>0</v>
      </c>
    </row>
    <row r="165" spans="1:15" x14ac:dyDescent="0.35">
      <c r="A165" t="s">
        <v>52</v>
      </c>
      <c r="B165" t="s">
        <v>55</v>
      </c>
      <c r="C165">
        <v>2030</v>
      </c>
      <c r="D165" t="s">
        <v>42</v>
      </c>
      <c r="E165">
        <v>2018</v>
      </c>
      <c r="F165" t="s">
        <v>29</v>
      </c>
      <c r="G165" t="s">
        <v>24</v>
      </c>
      <c r="H165" t="s">
        <v>30</v>
      </c>
      <c r="I165">
        <v>1113.7365466259801</v>
      </c>
      <c r="J165">
        <v>4070.4230750985098</v>
      </c>
      <c r="K165">
        <v>0.46350602409637298</v>
      </c>
      <c r="L165">
        <v>3654.7449999998998</v>
      </c>
      <c r="M165">
        <v>191.51813655780401</v>
      </c>
      <c r="N165">
        <v>2.4181582898713101E-2</v>
      </c>
      <c r="O165">
        <v>0</v>
      </c>
    </row>
    <row r="166" spans="1:15" x14ac:dyDescent="0.35">
      <c r="A166" t="s">
        <v>52</v>
      </c>
      <c r="B166" t="s">
        <v>56</v>
      </c>
      <c r="C166">
        <v>2030</v>
      </c>
      <c r="D166" t="s">
        <v>42</v>
      </c>
      <c r="E166">
        <v>2018</v>
      </c>
      <c r="F166" t="s">
        <v>29</v>
      </c>
      <c r="G166" t="s">
        <v>24</v>
      </c>
      <c r="H166" t="s">
        <v>30</v>
      </c>
      <c r="I166">
        <v>0</v>
      </c>
      <c r="J166">
        <v>0</v>
      </c>
      <c r="K166" t="s">
        <v>18</v>
      </c>
      <c r="L166" t="s">
        <v>18</v>
      </c>
      <c r="M166">
        <v>0</v>
      </c>
      <c r="N166">
        <v>0</v>
      </c>
      <c r="O166">
        <v>0</v>
      </c>
    </row>
    <row r="167" spans="1:15" x14ac:dyDescent="0.35">
      <c r="A167" t="s">
        <v>52</v>
      </c>
      <c r="B167" t="s">
        <v>57</v>
      </c>
      <c r="C167">
        <v>2030</v>
      </c>
      <c r="D167" t="s">
        <v>42</v>
      </c>
      <c r="E167">
        <v>2018</v>
      </c>
      <c r="F167" t="s">
        <v>29</v>
      </c>
      <c r="G167" t="s">
        <v>24</v>
      </c>
      <c r="H167" t="s">
        <v>30</v>
      </c>
      <c r="I167">
        <v>0</v>
      </c>
      <c r="J167">
        <v>0</v>
      </c>
      <c r="K167" t="s">
        <v>18</v>
      </c>
      <c r="L167" t="s">
        <v>18</v>
      </c>
      <c r="M167">
        <v>0</v>
      </c>
      <c r="N167">
        <v>0</v>
      </c>
      <c r="O167">
        <v>0</v>
      </c>
    </row>
    <row r="168" spans="1:15" x14ac:dyDescent="0.35">
      <c r="A168" t="s">
        <v>52</v>
      </c>
      <c r="B168" t="s">
        <v>11</v>
      </c>
      <c r="C168">
        <v>2030</v>
      </c>
      <c r="D168" t="s">
        <v>42</v>
      </c>
      <c r="E168">
        <v>2018</v>
      </c>
      <c r="F168" t="s">
        <v>29</v>
      </c>
      <c r="G168" t="s">
        <v>24</v>
      </c>
      <c r="H168" t="s">
        <v>30</v>
      </c>
      <c r="I168">
        <v>0</v>
      </c>
      <c r="J168">
        <v>0</v>
      </c>
      <c r="K168" t="s">
        <v>18</v>
      </c>
      <c r="L168" t="s">
        <v>18</v>
      </c>
      <c r="M168">
        <v>0</v>
      </c>
      <c r="N168">
        <v>0</v>
      </c>
      <c r="O168">
        <v>0</v>
      </c>
    </row>
    <row r="169" spans="1:15" x14ac:dyDescent="0.35">
      <c r="A169" t="s">
        <v>52</v>
      </c>
      <c r="B169" t="s">
        <v>12</v>
      </c>
      <c r="C169">
        <v>2030</v>
      </c>
      <c r="D169" t="s">
        <v>42</v>
      </c>
      <c r="E169">
        <v>2018</v>
      </c>
      <c r="F169" t="s">
        <v>29</v>
      </c>
      <c r="G169" t="s">
        <v>24</v>
      </c>
      <c r="H169" t="s">
        <v>30</v>
      </c>
      <c r="I169">
        <v>447.34111107398002</v>
      </c>
      <c r="J169">
        <v>41.485602668865504</v>
      </c>
      <c r="K169">
        <v>1.1761342408707401E-2</v>
      </c>
      <c r="L169">
        <v>92.738184892657799</v>
      </c>
      <c r="M169">
        <v>0</v>
      </c>
      <c r="N169">
        <v>0</v>
      </c>
      <c r="O169">
        <v>0</v>
      </c>
    </row>
    <row r="170" spans="1:15" x14ac:dyDescent="0.35">
      <c r="A170" t="s">
        <v>52</v>
      </c>
      <c r="B170" t="s">
        <v>13</v>
      </c>
      <c r="C170">
        <v>2030</v>
      </c>
      <c r="D170" t="s">
        <v>42</v>
      </c>
      <c r="E170">
        <v>2018</v>
      </c>
      <c r="F170" t="s">
        <v>29</v>
      </c>
      <c r="G170" t="s">
        <v>24</v>
      </c>
      <c r="H170" t="s">
        <v>30</v>
      </c>
      <c r="I170">
        <v>103.70875108875499</v>
      </c>
      <c r="J170">
        <v>14.325132659870899</v>
      </c>
      <c r="K170">
        <v>1.7517880140862498E-2</v>
      </c>
      <c r="L170">
        <v>138.12848491070099</v>
      </c>
      <c r="M170">
        <v>0</v>
      </c>
      <c r="N170">
        <v>0</v>
      </c>
      <c r="O170">
        <v>0</v>
      </c>
    </row>
    <row r="171" spans="1:15" x14ac:dyDescent="0.35">
      <c r="A171" t="s">
        <v>52</v>
      </c>
      <c r="B171" t="s">
        <v>14</v>
      </c>
      <c r="C171">
        <v>2030</v>
      </c>
      <c r="D171" t="s">
        <v>42</v>
      </c>
      <c r="E171">
        <v>2018</v>
      </c>
      <c r="F171" t="s">
        <v>29</v>
      </c>
      <c r="G171" t="s">
        <v>24</v>
      </c>
      <c r="H171" t="s">
        <v>30</v>
      </c>
      <c r="I171">
        <v>171.56889698673999</v>
      </c>
      <c r="J171">
        <v>14.3251326598708</v>
      </c>
      <c r="K171">
        <v>1.0589084053339699E-2</v>
      </c>
      <c r="L171">
        <v>83.494927760584105</v>
      </c>
      <c r="M171">
        <v>0</v>
      </c>
      <c r="N171">
        <v>0</v>
      </c>
      <c r="O171">
        <v>0</v>
      </c>
    </row>
    <row r="172" spans="1:15" x14ac:dyDescent="0.35">
      <c r="A172" t="s">
        <v>52</v>
      </c>
      <c r="B172" t="s">
        <v>4</v>
      </c>
      <c r="C172">
        <v>2030</v>
      </c>
      <c r="D172" t="s">
        <v>42</v>
      </c>
      <c r="E172">
        <v>2018</v>
      </c>
      <c r="F172" t="s">
        <v>29</v>
      </c>
      <c r="G172" t="s">
        <v>24</v>
      </c>
      <c r="H172" t="s">
        <v>30</v>
      </c>
      <c r="I172">
        <v>171.56889698673999</v>
      </c>
      <c r="J172">
        <v>654.60480370480104</v>
      </c>
      <c r="K172">
        <v>0.48388140289743897</v>
      </c>
      <c r="L172">
        <v>3815.4048618462998</v>
      </c>
      <c r="M172">
        <v>2.9738608811034901E-3</v>
      </c>
      <c r="N172" s="10">
        <v>3.7548748498782201E-7</v>
      </c>
      <c r="O172">
        <v>0</v>
      </c>
    </row>
    <row r="173" spans="1:15" x14ac:dyDescent="0.35">
      <c r="A173" t="s">
        <v>52</v>
      </c>
      <c r="B173" t="s">
        <v>28</v>
      </c>
      <c r="C173">
        <v>2030</v>
      </c>
      <c r="D173" t="s">
        <v>42</v>
      </c>
      <c r="E173">
        <v>2019</v>
      </c>
      <c r="F173" t="s">
        <v>29</v>
      </c>
      <c r="G173" t="s">
        <v>24</v>
      </c>
      <c r="H173" t="s">
        <v>30</v>
      </c>
      <c r="I173">
        <v>84.841699480269796</v>
      </c>
      <c r="J173">
        <v>425.80645161289902</v>
      </c>
      <c r="K173">
        <v>0.63650406315589603</v>
      </c>
      <c r="L173">
        <v>5018.8345379842403</v>
      </c>
      <c r="M173">
        <v>0</v>
      </c>
      <c r="N173">
        <v>0</v>
      </c>
      <c r="O173">
        <v>2.1250156794580598E-2</v>
      </c>
    </row>
    <row r="174" spans="1:15" x14ac:dyDescent="0.35">
      <c r="A174" t="s">
        <v>52</v>
      </c>
      <c r="B174" t="s">
        <v>53</v>
      </c>
      <c r="C174">
        <v>2030</v>
      </c>
      <c r="D174" t="s">
        <v>42</v>
      </c>
      <c r="E174">
        <v>2019</v>
      </c>
      <c r="F174" t="s">
        <v>29</v>
      </c>
      <c r="G174" t="s">
        <v>24</v>
      </c>
      <c r="H174" t="s">
        <v>30</v>
      </c>
      <c r="I174">
        <v>195.31699761637501</v>
      </c>
      <c r="J174">
        <v>862.41154218357099</v>
      </c>
      <c r="K174">
        <v>0.55998039543489997</v>
      </c>
      <c r="L174">
        <v>4415.4454180041803</v>
      </c>
      <c r="M174">
        <v>0</v>
      </c>
      <c r="N174">
        <v>0</v>
      </c>
      <c r="O174">
        <v>0</v>
      </c>
    </row>
    <row r="175" spans="1:15" x14ac:dyDescent="0.35">
      <c r="A175" t="s">
        <v>52</v>
      </c>
      <c r="B175" t="s">
        <v>25</v>
      </c>
      <c r="C175">
        <v>2030</v>
      </c>
      <c r="D175" t="s">
        <v>42</v>
      </c>
      <c r="E175">
        <v>2019</v>
      </c>
      <c r="F175" t="s">
        <v>29</v>
      </c>
      <c r="G175" t="s">
        <v>24</v>
      </c>
      <c r="H175" t="s">
        <v>30</v>
      </c>
      <c r="I175">
        <v>17.361510899233298</v>
      </c>
      <c r="J175">
        <v>76.658803749648001</v>
      </c>
      <c r="K175">
        <v>0.55998039543489997</v>
      </c>
      <c r="L175">
        <v>4415.4454180041803</v>
      </c>
      <c r="M175">
        <v>8.2119946553373905E-3</v>
      </c>
      <c r="N175" s="10">
        <v>1.03686801203755E-6</v>
      </c>
      <c r="O175">
        <v>0</v>
      </c>
    </row>
    <row r="176" spans="1:15" x14ac:dyDescent="0.35">
      <c r="A176" t="s">
        <v>52</v>
      </c>
      <c r="B176" t="s">
        <v>31</v>
      </c>
      <c r="C176">
        <v>2030</v>
      </c>
      <c r="D176" t="s">
        <v>42</v>
      </c>
      <c r="E176">
        <v>2019</v>
      </c>
      <c r="F176" t="s">
        <v>29</v>
      </c>
      <c r="G176" t="s">
        <v>24</v>
      </c>
      <c r="H176" t="s">
        <v>30</v>
      </c>
      <c r="I176">
        <v>15.2715059064485</v>
      </c>
      <c r="J176">
        <v>76.645161290311293</v>
      </c>
      <c r="K176">
        <v>0.63650406315589603</v>
      </c>
      <c r="L176">
        <v>5018.8345379842403</v>
      </c>
      <c r="M176">
        <v>0</v>
      </c>
      <c r="N176">
        <v>0</v>
      </c>
      <c r="O176">
        <v>0</v>
      </c>
    </row>
    <row r="177" spans="1:15" x14ac:dyDescent="0.35">
      <c r="A177" t="s">
        <v>52</v>
      </c>
      <c r="B177" t="s">
        <v>8</v>
      </c>
      <c r="C177">
        <v>2030</v>
      </c>
      <c r="D177" t="s">
        <v>42</v>
      </c>
      <c r="E177">
        <v>2019</v>
      </c>
      <c r="F177" t="s">
        <v>29</v>
      </c>
      <c r="G177" t="s">
        <v>24</v>
      </c>
      <c r="H177" t="s">
        <v>30</v>
      </c>
      <c r="I177">
        <v>0</v>
      </c>
      <c r="J177">
        <v>0</v>
      </c>
      <c r="K177" t="s">
        <v>18</v>
      </c>
      <c r="L177" t="s">
        <v>18</v>
      </c>
      <c r="M177">
        <v>0</v>
      </c>
      <c r="N177">
        <v>0</v>
      </c>
      <c r="O177">
        <v>0</v>
      </c>
    </row>
    <row r="178" spans="1:15" x14ac:dyDescent="0.35">
      <c r="A178" t="s">
        <v>52</v>
      </c>
      <c r="B178" t="s">
        <v>9</v>
      </c>
      <c r="C178">
        <v>2030</v>
      </c>
      <c r="D178" t="s">
        <v>42</v>
      </c>
      <c r="E178">
        <v>2019</v>
      </c>
      <c r="F178" t="s">
        <v>29</v>
      </c>
      <c r="G178" t="s">
        <v>24</v>
      </c>
      <c r="H178" t="s">
        <v>30</v>
      </c>
      <c r="I178">
        <v>98.543935864048706</v>
      </c>
      <c r="J178">
        <v>435.11537008300797</v>
      </c>
      <c r="K178">
        <v>0.55998039543489997</v>
      </c>
      <c r="L178">
        <v>4415.4454180041803</v>
      </c>
      <c r="M178">
        <v>0</v>
      </c>
      <c r="N178">
        <v>0</v>
      </c>
      <c r="O178">
        <v>0</v>
      </c>
    </row>
    <row r="179" spans="1:15" x14ac:dyDescent="0.35">
      <c r="A179" t="s">
        <v>52</v>
      </c>
      <c r="B179" t="s">
        <v>10</v>
      </c>
      <c r="C179">
        <v>2030</v>
      </c>
      <c r="D179" t="s">
        <v>42</v>
      </c>
      <c r="E179">
        <v>2019</v>
      </c>
      <c r="F179" t="s">
        <v>29</v>
      </c>
      <c r="G179" t="s">
        <v>24</v>
      </c>
      <c r="H179" t="s">
        <v>30</v>
      </c>
      <c r="I179">
        <v>134.72532457805099</v>
      </c>
      <c r="J179">
        <v>594.872317097277</v>
      </c>
      <c r="K179">
        <v>0.55998039543489997</v>
      </c>
      <c r="L179">
        <v>4415.4454180041803</v>
      </c>
      <c r="M179">
        <v>0</v>
      </c>
      <c r="N179">
        <v>0</v>
      </c>
      <c r="O179">
        <v>0</v>
      </c>
    </row>
    <row r="180" spans="1:15" x14ac:dyDescent="0.35">
      <c r="A180" t="s">
        <v>52</v>
      </c>
      <c r="B180" t="s">
        <v>33</v>
      </c>
      <c r="C180">
        <v>2030</v>
      </c>
      <c r="D180" t="s">
        <v>42</v>
      </c>
      <c r="E180">
        <v>2019</v>
      </c>
      <c r="F180" t="s">
        <v>29</v>
      </c>
      <c r="G180" t="s">
        <v>24</v>
      </c>
      <c r="H180" t="s">
        <v>30</v>
      </c>
      <c r="I180">
        <v>947.57295481994595</v>
      </c>
      <c r="J180">
        <v>20.275399132918601</v>
      </c>
      <c r="K180">
        <v>2.7136576552761701E-3</v>
      </c>
      <c r="L180">
        <v>21.397190611852601</v>
      </c>
      <c r="M180">
        <v>0</v>
      </c>
      <c r="N180">
        <v>0</v>
      </c>
      <c r="O180">
        <v>0</v>
      </c>
    </row>
    <row r="181" spans="1:15" x14ac:dyDescent="0.35">
      <c r="A181" t="s">
        <v>52</v>
      </c>
      <c r="B181" t="s">
        <v>34</v>
      </c>
      <c r="C181">
        <v>2030</v>
      </c>
      <c r="D181" t="s">
        <v>42</v>
      </c>
      <c r="E181">
        <v>2019</v>
      </c>
      <c r="F181" t="s">
        <v>29</v>
      </c>
      <c r="G181" t="s">
        <v>24</v>
      </c>
      <c r="H181" t="s">
        <v>30</v>
      </c>
      <c r="I181">
        <v>962.844460726394</v>
      </c>
      <c r="J181">
        <v>20.261756673583601</v>
      </c>
      <c r="K181">
        <v>2.66881986536533E-3</v>
      </c>
      <c r="L181">
        <v>21.043644638405599</v>
      </c>
      <c r="M181">
        <v>0</v>
      </c>
      <c r="N181">
        <v>0</v>
      </c>
      <c r="O181">
        <v>0</v>
      </c>
    </row>
    <row r="182" spans="1:15" x14ac:dyDescent="0.35">
      <c r="A182" t="s">
        <v>52</v>
      </c>
      <c r="B182" t="s">
        <v>35</v>
      </c>
      <c r="C182">
        <v>2030</v>
      </c>
      <c r="D182" t="s">
        <v>42</v>
      </c>
      <c r="E182">
        <v>2019</v>
      </c>
      <c r="F182" t="s">
        <v>29</v>
      </c>
      <c r="G182" t="s">
        <v>24</v>
      </c>
      <c r="H182" t="s">
        <v>30</v>
      </c>
      <c r="I182">
        <v>151.58288150016901</v>
      </c>
      <c r="J182">
        <v>666.067955203677</v>
      </c>
      <c r="K182">
        <v>0.55727130881630205</v>
      </c>
      <c r="L182">
        <v>4394.0842700165404</v>
      </c>
      <c r="M182">
        <v>0.15158288150016899</v>
      </c>
      <c r="N182" s="10">
        <v>1.9139252714668E-5</v>
      </c>
      <c r="O182">
        <v>0</v>
      </c>
    </row>
    <row r="183" spans="1:15" x14ac:dyDescent="0.35">
      <c r="A183" t="s">
        <v>52</v>
      </c>
      <c r="B183" t="s">
        <v>54</v>
      </c>
      <c r="C183">
        <v>2030</v>
      </c>
      <c r="D183" t="s">
        <v>42</v>
      </c>
      <c r="E183">
        <v>2019</v>
      </c>
      <c r="F183" t="s">
        <v>29</v>
      </c>
      <c r="G183" t="s">
        <v>24</v>
      </c>
      <c r="H183" t="s">
        <v>30</v>
      </c>
      <c r="I183">
        <v>0</v>
      </c>
      <c r="J183">
        <v>0</v>
      </c>
      <c r="K183" t="s">
        <v>18</v>
      </c>
      <c r="L183" t="s">
        <v>18</v>
      </c>
      <c r="M183">
        <v>0</v>
      </c>
      <c r="N183">
        <v>0</v>
      </c>
      <c r="O183">
        <v>0</v>
      </c>
    </row>
    <row r="184" spans="1:15" x14ac:dyDescent="0.35">
      <c r="A184" t="s">
        <v>52</v>
      </c>
      <c r="B184" t="s">
        <v>55</v>
      </c>
      <c r="C184">
        <v>2030</v>
      </c>
      <c r="D184" t="s">
        <v>42</v>
      </c>
      <c r="E184">
        <v>2019</v>
      </c>
      <c r="F184" t="s">
        <v>29</v>
      </c>
      <c r="G184" t="s">
        <v>24</v>
      </c>
      <c r="H184" t="s">
        <v>30</v>
      </c>
      <c r="I184">
        <v>977.78667610196896</v>
      </c>
      <c r="J184">
        <v>4073.4603682062598</v>
      </c>
      <c r="K184">
        <v>0.52834509828787701</v>
      </c>
      <c r="L184">
        <v>4166.0010999999104</v>
      </c>
      <c r="M184">
        <v>168.140196822494</v>
      </c>
      <c r="N184">
        <v>2.12298228311232E-2</v>
      </c>
      <c r="O184">
        <v>0</v>
      </c>
    </row>
    <row r="185" spans="1:15" x14ac:dyDescent="0.35">
      <c r="A185" t="s">
        <v>52</v>
      </c>
      <c r="B185" t="s">
        <v>56</v>
      </c>
      <c r="C185">
        <v>2030</v>
      </c>
      <c r="D185" t="s">
        <v>42</v>
      </c>
      <c r="E185">
        <v>2019</v>
      </c>
      <c r="F185" t="s">
        <v>29</v>
      </c>
      <c r="G185" t="s">
        <v>24</v>
      </c>
      <c r="H185" t="s">
        <v>30</v>
      </c>
      <c r="I185">
        <v>0</v>
      </c>
      <c r="J185">
        <v>0</v>
      </c>
      <c r="K185" t="s">
        <v>18</v>
      </c>
      <c r="L185" t="s">
        <v>18</v>
      </c>
      <c r="M185">
        <v>0</v>
      </c>
      <c r="N185">
        <v>0</v>
      </c>
      <c r="O185">
        <v>0</v>
      </c>
    </row>
    <row r="186" spans="1:15" x14ac:dyDescent="0.35">
      <c r="A186" t="s">
        <v>52</v>
      </c>
      <c r="B186" t="s">
        <v>57</v>
      </c>
      <c r="C186">
        <v>2030</v>
      </c>
      <c r="D186" t="s">
        <v>42</v>
      </c>
      <c r="E186">
        <v>2019</v>
      </c>
      <c r="F186" t="s">
        <v>29</v>
      </c>
      <c r="G186" t="s">
        <v>24</v>
      </c>
      <c r="H186" t="s">
        <v>30</v>
      </c>
      <c r="I186">
        <v>0</v>
      </c>
      <c r="J186">
        <v>0</v>
      </c>
      <c r="K186" t="s">
        <v>18</v>
      </c>
      <c r="L186" t="s">
        <v>18</v>
      </c>
      <c r="M186">
        <v>0</v>
      </c>
      <c r="N186">
        <v>0</v>
      </c>
      <c r="O186">
        <v>0</v>
      </c>
    </row>
    <row r="187" spans="1:15" x14ac:dyDescent="0.35">
      <c r="A187" t="s">
        <v>52</v>
      </c>
      <c r="B187" t="s">
        <v>11</v>
      </c>
      <c r="C187">
        <v>2030</v>
      </c>
      <c r="D187" t="s">
        <v>42</v>
      </c>
      <c r="E187">
        <v>2019</v>
      </c>
      <c r="F187" t="s">
        <v>29</v>
      </c>
      <c r="G187" t="s">
        <v>24</v>
      </c>
      <c r="H187" t="s">
        <v>30</v>
      </c>
      <c r="I187">
        <v>0</v>
      </c>
      <c r="J187">
        <v>0</v>
      </c>
      <c r="K187" t="s">
        <v>18</v>
      </c>
      <c r="L187" t="s">
        <v>18</v>
      </c>
      <c r="M187">
        <v>0</v>
      </c>
      <c r="N187">
        <v>0</v>
      </c>
      <c r="O187">
        <v>0</v>
      </c>
    </row>
    <row r="188" spans="1:15" x14ac:dyDescent="0.35">
      <c r="A188" t="s">
        <v>52</v>
      </c>
      <c r="B188" t="s">
        <v>12</v>
      </c>
      <c r="C188">
        <v>2030</v>
      </c>
      <c r="D188" t="s">
        <v>42</v>
      </c>
      <c r="E188">
        <v>2019</v>
      </c>
      <c r="F188" t="s">
        <v>29</v>
      </c>
      <c r="G188" t="s">
        <v>24</v>
      </c>
      <c r="H188" t="s">
        <v>30</v>
      </c>
      <c r="I188">
        <v>890.71857753074903</v>
      </c>
      <c r="J188">
        <v>42.216611050744497</v>
      </c>
      <c r="K188">
        <v>6.0109229241488201E-3</v>
      </c>
      <c r="L188">
        <v>47.396127256913402</v>
      </c>
      <c r="M188">
        <v>0</v>
      </c>
      <c r="N188">
        <v>0</v>
      </c>
      <c r="O188">
        <v>0</v>
      </c>
    </row>
    <row r="189" spans="1:15" x14ac:dyDescent="0.35">
      <c r="A189" t="s">
        <v>52</v>
      </c>
      <c r="B189" t="s">
        <v>13</v>
      </c>
      <c r="C189">
        <v>2030</v>
      </c>
      <c r="D189" t="s">
        <v>42</v>
      </c>
      <c r="E189">
        <v>2019</v>
      </c>
      <c r="F189" t="s">
        <v>29</v>
      </c>
      <c r="G189" t="s">
        <v>24</v>
      </c>
      <c r="H189" t="s">
        <v>30</v>
      </c>
      <c r="I189">
        <v>53.497478058152097</v>
      </c>
      <c r="J189">
        <v>8.0752315629279199</v>
      </c>
      <c r="K189">
        <v>1.9143439845016399E-2</v>
      </c>
      <c r="L189">
        <v>150.946023177954</v>
      </c>
      <c r="M189">
        <v>0</v>
      </c>
      <c r="N189">
        <v>0</v>
      </c>
      <c r="O189">
        <v>0</v>
      </c>
    </row>
    <row r="190" spans="1:15" x14ac:dyDescent="0.35">
      <c r="A190" t="s">
        <v>52</v>
      </c>
      <c r="B190" t="s">
        <v>14</v>
      </c>
      <c r="C190">
        <v>2030</v>
      </c>
      <c r="D190" t="s">
        <v>42</v>
      </c>
      <c r="E190">
        <v>2019</v>
      </c>
      <c r="F190" t="s">
        <v>29</v>
      </c>
      <c r="G190" t="s">
        <v>24</v>
      </c>
      <c r="H190" t="s">
        <v>30</v>
      </c>
      <c r="I190">
        <v>72.121986174380297</v>
      </c>
      <c r="J190">
        <v>8.0752315629279305</v>
      </c>
      <c r="K190">
        <v>1.4199910559730499E-2</v>
      </c>
      <c r="L190">
        <v>111.96629476347501</v>
      </c>
      <c r="M190">
        <v>0</v>
      </c>
      <c r="N190">
        <v>0</v>
      </c>
      <c r="O190">
        <v>0</v>
      </c>
    </row>
    <row r="191" spans="1:15" x14ac:dyDescent="0.35">
      <c r="A191" t="s">
        <v>52</v>
      </c>
      <c r="B191" t="s">
        <v>4</v>
      </c>
      <c r="C191">
        <v>2030</v>
      </c>
      <c r="D191" t="s">
        <v>42</v>
      </c>
      <c r="E191">
        <v>2019</v>
      </c>
      <c r="F191" t="s">
        <v>29</v>
      </c>
      <c r="G191" t="s">
        <v>24</v>
      </c>
      <c r="H191" t="s">
        <v>30</v>
      </c>
      <c r="I191">
        <v>72.121986174380297</v>
      </c>
      <c r="J191">
        <v>288.754681116759</v>
      </c>
      <c r="K191">
        <v>0.50776137050797199</v>
      </c>
      <c r="L191">
        <v>4003.6984064553499</v>
      </c>
      <c r="M191">
        <v>1.2501144270225899E-3</v>
      </c>
      <c r="N191" s="10">
        <v>1.57842730684672E-7</v>
      </c>
      <c r="O191">
        <v>0</v>
      </c>
    </row>
    <row r="192" spans="1:15" x14ac:dyDescent="0.35">
      <c r="A192" t="s">
        <v>52</v>
      </c>
      <c r="B192" t="s">
        <v>28</v>
      </c>
      <c r="C192">
        <v>2030</v>
      </c>
      <c r="D192" t="s">
        <v>42</v>
      </c>
      <c r="E192">
        <v>2020</v>
      </c>
      <c r="F192" t="s">
        <v>29</v>
      </c>
      <c r="G192" t="s">
        <v>24</v>
      </c>
      <c r="H192" t="s">
        <v>30</v>
      </c>
      <c r="I192">
        <v>88.022694697406195</v>
      </c>
      <c r="J192">
        <v>425.80645161290403</v>
      </c>
      <c r="K192">
        <v>0.61350185460571705</v>
      </c>
      <c r="L192">
        <v>4837.4621235660798</v>
      </c>
      <c r="M192">
        <v>0</v>
      </c>
      <c r="N192">
        <v>0</v>
      </c>
      <c r="O192">
        <v>2.1319642438067499E-2</v>
      </c>
    </row>
    <row r="193" spans="1:15" x14ac:dyDescent="0.35">
      <c r="A193" t="s">
        <v>52</v>
      </c>
      <c r="B193" t="s">
        <v>53</v>
      </c>
      <c r="C193">
        <v>2030</v>
      </c>
      <c r="D193" t="s">
        <v>42</v>
      </c>
      <c r="E193">
        <v>2020</v>
      </c>
      <c r="F193" t="s">
        <v>29</v>
      </c>
      <c r="G193" t="s">
        <v>24</v>
      </c>
      <c r="H193" t="s">
        <v>30</v>
      </c>
      <c r="I193">
        <v>195.620209708255</v>
      </c>
      <c r="J193">
        <v>862.40441548869399</v>
      </c>
      <c r="K193">
        <v>0.55910780329951104</v>
      </c>
      <c r="L193">
        <v>4408.5650290166404</v>
      </c>
      <c r="M193">
        <v>0</v>
      </c>
      <c r="N193">
        <v>0</v>
      </c>
      <c r="O193">
        <v>0</v>
      </c>
    </row>
    <row r="194" spans="1:15" x14ac:dyDescent="0.35">
      <c r="A194" t="s">
        <v>52</v>
      </c>
      <c r="B194" t="s">
        <v>25</v>
      </c>
      <c r="C194">
        <v>2030</v>
      </c>
      <c r="D194" t="s">
        <v>42</v>
      </c>
      <c r="E194">
        <v>2020</v>
      </c>
      <c r="F194" t="s">
        <v>29</v>
      </c>
      <c r="G194" t="s">
        <v>24</v>
      </c>
      <c r="H194" t="s">
        <v>30</v>
      </c>
      <c r="I194">
        <v>17.388463085178198</v>
      </c>
      <c r="J194">
        <v>76.658170265660004</v>
      </c>
      <c r="K194">
        <v>0.55910780329951104</v>
      </c>
      <c r="L194">
        <v>4408.5650290166404</v>
      </c>
      <c r="M194">
        <v>8.2247430392893197E-3</v>
      </c>
      <c r="N194" s="10">
        <v>1.03847765647592E-6</v>
      </c>
      <c r="O194">
        <v>0</v>
      </c>
    </row>
    <row r="195" spans="1:15" x14ac:dyDescent="0.35">
      <c r="A195" t="s">
        <v>52</v>
      </c>
      <c r="B195" t="s">
        <v>31</v>
      </c>
      <c r="C195">
        <v>2030</v>
      </c>
      <c r="D195" t="s">
        <v>42</v>
      </c>
      <c r="E195">
        <v>2020</v>
      </c>
      <c r="F195" t="s">
        <v>29</v>
      </c>
      <c r="G195" t="s">
        <v>24</v>
      </c>
      <c r="H195" t="s">
        <v>30</v>
      </c>
      <c r="I195">
        <v>15.844085045533101</v>
      </c>
      <c r="J195">
        <v>76.645161290323998</v>
      </c>
      <c r="K195">
        <v>0.61350185460571705</v>
      </c>
      <c r="L195">
        <v>4837.4621235660798</v>
      </c>
      <c r="M195">
        <v>0</v>
      </c>
      <c r="N195">
        <v>0</v>
      </c>
      <c r="O195">
        <v>0</v>
      </c>
    </row>
    <row r="196" spans="1:15" x14ac:dyDescent="0.35">
      <c r="A196" t="s">
        <v>52</v>
      </c>
      <c r="B196" t="s">
        <v>8</v>
      </c>
      <c r="C196">
        <v>2030</v>
      </c>
      <c r="D196" t="s">
        <v>42</v>
      </c>
      <c r="E196">
        <v>2020</v>
      </c>
      <c r="F196" t="s">
        <v>29</v>
      </c>
      <c r="G196" t="s">
        <v>24</v>
      </c>
      <c r="H196" t="s">
        <v>30</v>
      </c>
      <c r="I196">
        <v>0</v>
      </c>
      <c r="J196">
        <v>0</v>
      </c>
      <c r="K196" t="s">
        <v>18</v>
      </c>
      <c r="L196" t="s">
        <v>18</v>
      </c>
      <c r="M196">
        <v>0</v>
      </c>
      <c r="N196">
        <v>0</v>
      </c>
      <c r="O196">
        <v>0</v>
      </c>
    </row>
    <row r="197" spans="1:15" x14ac:dyDescent="0.35">
      <c r="A197" t="s">
        <v>52</v>
      </c>
      <c r="B197" t="s">
        <v>9</v>
      </c>
      <c r="C197">
        <v>2030</v>
      </c>
      <c r="D197" t="s">
        <v>42</v>
      </c>
      <c r="E197">
        <v>2020</v>
      </c>
      <c r="F197" t="s">
        <v>29</v>
      </c>
      <c r="G197" t="s">
        <v>24</v>
      </c>
      <c r="H197" t="s">
        <v>30</v>
      </c>
      <c r="I197">
        <v>98.696916471471795</v>
      </c>
      <c r="J197">
        <v>435.11177442791899</v>
      </c>
      <c r="K197">
        <v>0.55910780329951104</v>
      </c>
      <c r="L197">
        <v>4408.5650290166404</v>
      </c>
      <c r="M197">
        <v>0</v>
      </c>
      <c r="N197">
        <v>0</v>
      </c>
      <c r="O197">
        <v>0</v>
      </c>
    </row>
    <row r="198" spans="1:15" x14ac:dyDescent="0.35">
      <c r="A198" t="s">
        <v>52</v>
      </c>
      <c r="B198" t="s">
        <v>10</v>
      </c>
      <c r="C198">
        <v>2030</v>
      </c>
      <c r="D198" t="s">
        <v>42</v>
      </c>
      <c r="E198">
        <v>2020</v>
      </c>
      <c r="F198" t="s">
        <v>29</v>
      </c>
      <c r="G198" t="s">
        <v>24</v>
      </c>
      <c r="H198" t="s">
        <v>30</v>
      </c>
      <c r="I198">
        <v>134.93447354098299</v>
      </c>
      <c r="J198">
        <v>594.86740126153802</v>
      </c>
      <c r="K198">
        <v>0.55910780329951104</v>
      </c>
      <c r="L198">
        <v>4408.5650290166404</v>
      </c>
      <c r="M198">
        <v>0</v>
      </c>
      <c r="N198">
        <v>0</v>
      </c>
      <c r="O198">
        <v>0</v>
      </c>
    </row>
    <row r="199" spans="1:15" x14ac:dyDescent="0.35">
      <c r="A199" t="s">
        <v>52</v>
      </c>
      <c r="B199" t="s">
        <v>33</v>
      </c>
      <c r="C199">
        <v>2030</v>
      </c>
      <c r="D199" t="s">
        <v>42</v>
      </c>
      <c r="E199">
        <v>2020</v>
      </c>
      <c r="F199" t="s">
        <v>29</v>
      </c>
      <c r="G199" t="s">
        <v>24</v>
      </c>
      <c r="H199" t="s">
        <v>30</v>
      </c>
      <c r="I199">
        <v>445.55167788966298</v>
      </c>
      <c r="J199">
        <v>18.225236800587599</v>
      </c>
      <c r="K199">
        <v>5.1876826242675802E-3</v>
      </c>
      <c r="L199">
        <v>40.904877492349797</v>
      </c>
      <c r="M199">
        <v>0</v>
      </c>
      <c r="N199">
        <v>0</v>
      </c>
      <c r="O199">
        <v>0</v>
      </c>
    </row>
    <row r="200" spans="1:15" x14ac:dyDescent="0.35">
      <c r="A200" t="s">
        <v>52</v>
      </c>
      <c r="B200" t="s">
        <v>34</v>
      </c>
      <c r="C200">
        <v>2030</v>
      </c>
      <c r="D200" t="s">
        <v>42</v>
      </c>
      <c r="E200">
        <v>2020</v>
      </c>
      <c r="F200" t="s">
        <v>29</v>
      </c>
      <c r="G200" t="s">
        <v>24</v>
      </c>
      <c r="H200" t="s">
        <v>30</v>
      </c>
      <c r="I200">
        <v>451.89245789569799</v>
      </c>
      <c r="J200">
        <v>18.2122278252467</v>
      </c>
      <c r="K200">
        <v>5.1112401167597004E-3</v>
      </c>
      <c r="L200">
        <v>40.302128320650198</v>
      </c>
      <c r="M200">
        <v>0</v>
      </c>
      <c r="N200">
        <v>0</v>
      </c>
      <c r="O200">
        <v>0</v>
      </c>
    </row>
    <row r="201" spans="1:15" x14ac:dyDescent="0.35">
      <c r="A201" t="s">
        <v>52</v>
      </c>
      <c r="B201" t="s">
        <v>35</v>
      </c>
      <c r="C201">
        <v>2030</v>
      </c>
      <c r="D201" t="s">
        <v>42</v>
      </c>
      <c r="E201">
        <v>2020</v>
      </c>
      <c r="F201" t="s">
        <v>29</v>
      </c>
      <c r="G201" t="s">
        <v>24</v>
      </c>
      <c r="H201" t="s">
        <v>30</v>
      </c>
      <c r="I201">
        <v>144.54417045528501</v>
      </c>
      <c r="J201">
        <v>578.46201210685501</v>
      </c>
      <c r="K201">
        <v>0.50754267604883097</v>
      </c>
      <c r="L201">
        <v>4001.9740006450302</v>
      </c>
      <c r="M201">
        <v>0.144544170455285</v>
      </c>
      <c r="N201" s="10">
        <v>1.82505265726369E-5</v>
      </c>
      <c r="O201">
        <v>0</v>
      </c>
    </row>
    <row r="202" spans="1:15" x14ac:dyDescent="0.35">
      <c r="A202" t="s">
        <v>52</v>
      </c>
      <c r="B202" t="s">
        <v>54</v>
      </c>
      <c r="C202">
        <v>2030</v>
      </c>
      <c r="D202" t="s">
        <v>42</v>
      </c>
      <c r="E202">
        <v>2020</v>
      </c>
      <c r="F202" t="s">
        <v>29</v>
      </c>
      <c r="G202" t="s">
        <v>24</v>
      </c>
      <c r="H202" t="s">
        <v>30</v>
      </c>
      <c r="I202">
        <v>0</v>
      </c>
      <c r="J202">
        <v>0</v>
      </c>
      <c r="K202" t="s">
        <v>18</v>
      </c>
      <c r="L202" t="s">
        <v>18</v>
      </c>
      <c r="M202">
        <v>0</v>
      </c>
      <c r="N202">
        <v>0</v>
      </c>
      <c r="O202">
        <v>0</v>
      </c>
    </row>
    <row r="203" spans="1:15" x14ac:dyDescent="0.35">
      <c r="A203" t="s">
        <v>52</v>
      </c>
      <c r="B203" t="s">
        <v>55</v>
      </c>
      <c r="C203">
        <v>2030</v>
      </c>
      <c r="D203" t="s">
        <v>42</v>
      </c>
      <c r="E203">
        <v>2020</v>
      </c>
      <c r="F203" t="s">
        <v>29</v>
      </c>
      <c r="G203" t="s">
        <v>24</v>
      </c>
      <c r="H203" t="s">
        <v>30</v>
      </c>
      <c r="I203">
        <v>981.01122236987601</v>
      </c>
      <c r="J203">
        <v>4055.16371022564</v>
      </c>
      <c r="K203">
        <v>0.52424309448318496</v>
      </c>
      <c r="L203">
        <v>4133.6567999999197</v>
      </c>
      <c r="M203">
        <v>168.694689798724</v>
      </c>
      <c r="N203">
        <v>2.1299834570545802E-2</v>
      </c>
      <c r="O203">
        <v>0</v>
      </c>
    </row>
    <row r="204" spans="1:15" x14ac:dyDescent="0.35">
      <c r="A204" t="s">
        <v>52</v>
      </c>
      <c r="B204" t="s">
        <v>56</v>
      </c>
      <c r="C204">
        <v>2030</v>
      </c>
      <c r="D204" t="s">
        <v>42</v>
      </c>
      <c r="E204">
        <v>2020</v>
      </c>
      <c r="F204" t="s">
        <v>29</v>
      </c>
      <c r="G204" t="s">
        <v>24</v>
      </c>
      <c r="H204" t="s">
        <v>30</v>
      </c>
      <c r="I204">
        <v>0</v>
      </c>
      <c r="J204">
        <v>0</v>
      </c>
      <c r="K204" t="s">
        <v>18</v>
      </c>
      <c r="L204" t="s">
        <v>18</v>
      </c>
      <c r="M204">
        <v>0</v>
      </c>
      <c r="N204">
        <v>0</v>
      </c>
      <c r="O204">
        <v>0</v>
      </c>
    </row>
    <row r="205" spans="1:15" x14ac:dyDescent="0.35">
      <c r="A205" t="s">
        <v>52</v>
      </c>
      <c r="B205" t="s">
        <v>57</v>
      </c>
      <c r="C205">
        <v>2030</v>
      </c>
      <c r="D205" t="s">
        <v>42</v>
      </c>
      <c r="E205">
        <v>2020</v>
      </c>
      <c r="F205" t="s">
        <v>29</v>
      </c>
      <c r="G205" t="s">
        <v>24</v>
      </c>
      <c r="H205" t="s">
        <v>30</v>
      </c>
      <c r="I205">
        <v>0</v>
      </c>
      <c r="J205">
        <v>0</v>
      </c>
      <c r="K205" t="s">
        <v>18</v>
      </c>
      <c r="L205" t="s">
        <v>18</v>
      </c>
      <c r="M205">
        <v>0</v>
      </c>
      <c r="N205">
        <v>0</v>
      </c>
      <c r="O205">
        <v>0</v>
      </c>
    </row>
    <row r="206" spans="1:15" x14ac:dyDescent="0.35">
      <c r="A206" t="s">
        <v>52</v>
      </c>
      <c r="B206" t="s">
        <v>11</v>
      </c>
      <c r="C206">
        <v>2030</v>
      </c>
      <c r="D206" t="s">
        <v>42</v>
      </c>
      <c r="E206">
        <v>2020</v>
      </c>
      <c r="F206" t="s">
        <v>29</v>
      </c>
      <c r="G206" t="s">
        <v>24</v>
      </c>
      <c r="H206" t="s">
        <v>30</v>
      </c>
      <c r="I206">
        <v>0</v>
      </c>
      <c r="J206">
        <v>0</v>
      </c>
      <c r="K206" t="s">
        <v>18</v>
      </c>
      <c r="L206" t="s">
        <v>18</v>
      </c>
      <c r="M206">
        <v>0</v>
      </c>
      <c r="N206">
        <v>0</v>
      </c>
      <c r="O206">
        <v>0</v>
      </c>
    </row>
    <row r="207" spans="1:15" x14ac:dyDescent="0.35">
      <c r="A207" t="s">
        <v>52</v>
      </c>
      <c r="B207" t="s">
        <v>12</v>
      </c>
      <c r="C207">
        <v>2030</v>
      </c>
      <c r="D207" t="s">
        <v>42</v>
      </c>
      <c r="E207">
        <v>2020</v>
      </c>
      <c r="F207" t="s">
        <v>29</v>
      </c>
      <c r="G207" t="s">
        <v>24</v>
      </c>
      <c r="H207" t="s">
        <v>30</v>
      </c>
      <c r="I207">
        <v>343.94361017327998</v>
      </c>
      <c r="J207">
        <v>25.0487537431632</v>
      </c>
      <c r="K207">
        <v>9.2362819108020994E-3</v>
      </c>
      <c r="L207">
        <v>72.828082866674606</v>
      </c>
      <c r="M207">
        <v>0</v>
      </c>
      <c r="N207">
        <v>0</v>
      </c>
      <c r="O207">
        <v>0</v>
      </c>
    </row>
    <row r="208" spans="1:15" x14ac:dyDescent="0.35">
      <c r="A208" t="s">
        <v>52</v>
      </c>
      <c r="B208" t="s">
        <v>13</v>
      </c>
      <c r="C208">
        <v>2030</v>
      </c>
      <c r="D208" t="s">
        <v>42</v>
      </c>
      <c r="E208">
        <v>2020</v>
      </c>
      <c r="F208" t="s">
        <v>29</v>
      </c>
      <c r="G208" t="s">
        <v>24</v>
      </c>
      <c r="H208" t="s">
        <v>30</v>
      </c>
      <c r="I208">
        <v>63.051980497992702</v>
      </c>
      <c r="J208">
        <v>16.374403952392299</v>
      </c>
      <c r="K208">
        <v>3.2935561349435101E-2</v>
      </c>
      <c r="L208">
        <v>259.69690124029501</v>
      </c>
      <c r="M208">
        <v>0</v>
      </c>
      <c r="N208">
        <v>0</v>
      </c>
      <c r="O208">
        <v>0</v>
      </c>
    </row>
    <row r="209" spans="1:15" x14ac:dyDescent="0.35">
      <c r="A209" t="s">
        <v>52</v>
      </c>
      <c r="B209" t="s">
        <v>14</v>
      </c>
      <c r="C209">
        <v>2030</v>
      </c>
      <c r="D209" t="s">
        <v>42</v>
      </c>
      <c r="E209">
        <v>2020</v>
      </c>
      <c r="F209" t="s">
        <v>29</v>
      </c>
      <c r="G209" t="s">
        <v>24</v>
      </c>
      <c r="H209" t="s">
        <v>30</v>
      </c>
      <c r="I209">
        <v>237.080612144556</v>
      </c>
      <c r="J209">
        <v>16.374403952392299</v>
      </c>
      <c r="K209">
        <v>8.7592669561220894E-3</v>
      </c>
      <c r="L209">
        <v>69.066819949022701</v>
      </c>
      <c r="M209">
        <v>0</v>
      </c>
      <c r="N209">
        <v>0</v>
      </c>
      <c r="O209">
        <v>0</v>
      </c>
    </row>
    <row r="210" spans="1:15" x14ac:dyDescent="0.35">
      <c r="A210" t="s">
        <v>52</v>
      </c>
      <c r="B210" t="s">
        <v>4</v>
      </c>
      <c r="C210">
        <v>2030</v>
      </c>
      <c r="D210" t="s">
        <v>42</v>
      </c>
      <c r="E210">
        <v>2020</v>
      </c>
      <c r="F210" t="s">
        <v>29</v>
      </c>
      <c r="G210" t="s">
        <v>24</v>
      </c>
      <c r="H210" t="s">
        <v>30</v>
      </c>
      <c r="I210">
        <v>237.080612144556</v>
      </c>
      <c r="J210">
        <v>877.09333714138404</v>
      </c>
      <c r="K210">
        <v>0.46918927295273999</v>
      </c>
      <c r="L210">
        <v>3699.55741723235</v>
      </c>
      <c r="M210">
        <v>4.1093972771723102E-3</v>
      </c>
      <c r="N210" s="10">
        <v>5.1886329257225996E-7</v>
      </c>
      <c r="O210">
        <v>0</v>
      </c>
    </row>
    <row r="211" spans="1:15" x14ac:dyDescent="0.35">
      <c r="A211" t="s">
        <v>52</v>
      </c>
      <c r="B211" t="s">
        <v>28</v>
      </c>
      <c r="C211">
        <v>2030</v>
      </c>
      <c r="D211" t="s">
        <v>42</v>
      </c>
      <c r="E211">
        <v>2021</v>
      </c>
      <c r="F211" t="s">
        <v>29</v>
      </c>
      <c r="G211" t="s">
        <v>24</v>
      </c>
      <c r="H211" t="s">
        <v>30</v>
      </c>
      <c r="I211">
        <v>75.460038673426297</v>
      </c>
      <c r="J211">
        <v>425.806451612898</v>
      </c>
      <c r="K211">
        <v>0.71563820259837196</v>
      </c>
      <c r="L211">
        <v>5642.8072274881597</v>
      </c>
      <c r="M211">
        <v>0</v>
      </c>
      <c r="N211">
        <v>0</v>
      </c>
      <c r="O211">
        <v>2.3288648194443901E-2</v>
      </c>
    </row>
    <row r="212" spans="1:15" x14ac:dyDescent="0.35">
      <c r="A212" t="s">
        <v>52</v>
      </c>
      <c r="B212" t="s">
        <v>53</v>
      </c>
      <c r="C212">
        <v>2030</v>
      </c>
      <c r="D212" t="s">
        <v>42</v>
      </c>
      <c r="E212">
        <v>2021</v>
      </c>
      <c r="F212" t="s">
        <v>29</v>
      </c>
      <c r="G212" t="s">
        <v>24</v>
      </c>
      <c r="H212" t="s">
        <v>30</v>
      </c>
      <c r="I212">
        <v>215.12485472608799</v>
      </c>
      <c r="J212">
        <v>862.75826979289695</v>
      </c>
      <c r="K212">
        <v>0.50862399309302297</v>
      </c>
      <c r="L212">
        <v>4010.5001855384899</v>
      </c>
      <c r="M212">
        <v>0</v>
      </c>
      <c r="N212">
        <v>0</v>
      </c>
      <c r="O212">
        <v>0</v>
      </c>
    </row>
    <row r="213" spans="1:15" x14ac:dyDescent="0.35">
      <c r="A213" t="s">
        <v>52</v>
      </c>
      <c r="B213" t="s">
        <v>25</v>
      </c>
      <c r="C213">
        <v>2030</v>
      </c>
      <c r="D213" t="s">
        <v>42</v>
      </c>
      <c r="E213">
        <v>2021</v>
      </c>
      <c r="F213" t="s">
        <v>29</v>
      </c>
      <c r="G213" t="s">
        <v>24</v>
      </c>
      <c r="H213" t="s">
        <v>30</v>
      </c>
      <c r="I213">
        <v>19.1222093089856</v>
      </c>
      <c r="J213">
        <v>76.689623981594707</v>
      </c>
      <c r="K213">
        <v>0.50862399309302297</v>
      </c>
      <c r="L213">
        <v>4010.5001855384899</v>
      </c>
      <c r="M213">
        <v>9.0448050031502001E-3</v>
      </c>
      <c r="N213" s="10">
        <v>1.1420208337310899E-6</v>
      </c>
      <c r="O213">
        <v>0</v>
      </c>
    </row>
    <row r="214" spans="1:15" x14ac:dyDescent="0.35">
      <c r="A214" t="s">
        <v>52</v>
      </c>
      <c r="B214" t="s">
        <v>31</v>
      </c>
      <c r="C214">
        <v>2030</v>
      </c>
      <c r="D214" t="s">
        <v>42</v>
      </c>
      <c r="E214">
        <v>2021</v>
      </c>
      <c r="F214" t="s">
        <v>29</v>
      </c>
      <c r="G214" t="s">
        <v>24</v>
      </c>
      <c r="H214" t="s">
        <v>30</v>
      </c>
      <c r="I214">
        <v>13.582806961216701</v>
      </c>
      <c r="J214">
        <v>76.645161290334002</v>
      </c>
      <c r="K214">
        <v>0.71563820259837196</v>
      </c>
      <c r="L214">
        <v>5642.8072274881597</v>
      </c>
      <c r="M214">
        <v>0</v>
      </c>
      <c r="N214">
        <v>0</v>
      </c>
      <c r="O214">
        <v>0</v>
      </c>
    </row>
    <row r="215" spans="1:15" x14ac:dyDescent="0.35">
      <c r="A215" t="s">
        <v>52</v>
      </c>
      <c r="B215" t="s">
        <v>8</v>
      </c>
      <c r="C215">
        <v>2030</v>
      </c>
      <c r="D215" t="s">
        <v>42</v>
      </c>
      <c r="E215">
        <v>2021</v>
      </c>
      <c r="F215" t="s">
        <v>29</v>
      </c>
      <c r="G215" t="s">
        <v>24</v>
      </c>
      <c r="H215" t="s">
        <v>30</v>
      </c>
      <c r="I215">
        <v>0</v>
      </c>
      <c r="J215">
        <v>0</v>
      </c>
      <c r="K215" t="s">
        <v>18</v>
      </c>
      <c r="L215" t="s">
        <v>18</v>
      </c>
      <c r="M215">
        <v>0</v>
      </c>
      <c r="N215">
        <v>0</v>
      </c>
      <c r="O215">
        <v>0</v>
      </c>
    </row>
    <row r="216" spans="1:15" x14ac:dyDescent="0.35">
      <c r="A216" t="s">
        <v>52</v>
      </c>
      <c r="B216" t="s">
        <v>9</v>
      </c>
      <c r="C216">
        <v>2030</v>
      </c>
      <c r="D216" t="s">
        <v>42</v>
      </c>
      <c r="E216">
        <v>2021</v>
      </c>
      <c r="F216" t="s">
        <v>29</v>
      </c>
      <c r="G216" t="s">
        <v>24</v>
      </c>
      <c r="H216" t="s">
        <v>30</v>
      </c>
      <c r="I216">
        <v>108.537660037802</v>
      </c>
      <c r="J216">
        <v>435.29030571953399</v>
      </c>
      <c r="K216">
        <v>0.50862399309302297</v>
      </c>
      <c r="L216">
        <v>4010.5001855384899</v>
      </c>
      <c r="M216">
        <v>0</v>
      </c>
      <c r="N216">
        <v>0</v>
      </c>
      <c r="O216">
        <v>0</v>
      </c>
    </row>
    <row r="217" spans="1:15" x14ac:dyDescent="0.35">
      <c r="A217" t="s">
        <v>52</v>
      </c>
      <c r="B217" t="s">
        <v>10</v>
      </c>
      <c r="C217">
        <v>2030</v>
      </c>
      <c r="D217" t="s">
        <v>42</v>
      </c>
      <c r="E217">
        <v>2021</v>
      </c>
      <c r="F217" t="s">
        <v>29</v>
      </c>
      <c r="G217" t="s">
        <v>24</v>
      </c>
      <c r="H217" t="s">
        <v>30</v>
      </c>
      <c r="I217">
        <v>148.38834423772801</v>
      </c>
      <c r="J217">
        <v>595.111482097156</v>
      </c>
      <c r="K217">
        <v>0.50862399309302297</v>
      </c>
      <c r="L217">
        <v>4010.5001855384899</v>
      </c>
      <c r="M217">
        <v>0</v>
      </c>
      <c r="N217">
        <v>0</v>
      </c>
      <c r="O217">
        <v>0</v>
      </c>
    </row>
    <row r="218" spans="1:15" x14ac:dyDescent="0.35">
      <c r="A218" t="s">
        <v>52</v>
      </c>
      <c r="B218" t="s">
        <v>33</v>
      </c>
      <c r="C218">
        <v>2030</v>
      </c>
      <c r="D218" t="s">
        <v>42</v>
      </c>
      <c r="E218">
        <v>2021</v>
      </c>
      <c r="F218" t="s">
        <v>29</v>
      </c>
      <c r="G218" t="s">
        <v>24</v>
      </c>
      <c r="H218" t="s">
        <v>30</v>
      </c>
      <c r="I218">
        <v>1044.9282044679501</v>
      </c>
      <c r="J218">
        <v>33.360734229757398</v>
      </c>
      <c r="K218">
        <v>4.0489969627265096E-3</v>
      </c>
      <c r="L218">
        <v>31.9263410510985</v>
      </c>
      <c r="M218">
        <v>0</v>
      </c>
      <c r="N218">
        <v>0</v>
      </c>
      <c r="O218">
        <v>0</v>
      </c>
    </row>
    <row r="219" spans="1:15" x14ac:dyDescent="0.35">
      <c r="A219" t="s">
        <v>52</v>
      </c>
      <c r="B219" t="s">
        <v>34</v>
      </c>
      <c r="C219">
        <v>2030</v>
      </c>
      <c r="D219" t="s">
        <v>42</v>
      </c>
      <c r="E219">
        <v>2021</v>
      </c>
      <c r="F219" t="s">
        <v>29</v>
      </c>
      <c r="G219" t="s">
        <v>24</v>
      </c>
      <c r="H219" t="s">
        <v>30</v>
      </c>
      <c r="I219">
        <v>1058.5110114291699</v>
      </c>
      <c r="J219">
        <v>33.316271538494703</v>
      </c>
      <c r="K219">
        <v>3.9917130620324903E-3</v>
      </c>
      <c r="L219">
        <v>31.474657494126099</v>
      </c>
      <c r="M219">
        <v>0</v>
      </c>
      <c r="N219">
        <v>0</v>
      </c>
      <c r="O219">
        <v>0</v>
      </c>
    </row>
    <row r="220" spans="1:15" x14ac:dyDescent="0.35">
      <c r="A220" t="s">
        <v>52</v>
      </c>
      <c r="B220" t="s">
        <v>35</v>
      </c>
      <c r="C220">
        <v>2030</v>
      </c>
      <c r="D220" t="s">
        <v>42</v>
      </c>
      <c r="E220">
        <v>2021</v>
      </c>
      <c r="F220" t="s">
        <v>29</v>
      </c>
      <c r="G220" t="s">
        <v>24</v>
      </c>
      <c r="H220" t="s">
        <v>30</v>
      </c>
      <c r="I220">
        <v>494.029902908824</v>
      </c>
      <c r="J220">
        <v>2186.54771923916</v>
      </c>
      <c r="K220">
        <v>0.56131161013909603</v>
      </c>
      <c r="L220">
        <v>4425.9420459467701</v>
      </c>
      <c r="M220">
        <v>0.49402990290882398</v>
      </c>
      <c r="N220" s="10">
        <v>6.2377512993539103E-5</v>
      </c>
      <c r="O220">
        <v>0</v>
      </c>
    </row>
    <row r="221" spans="1:15" x14ac:dyDescent="0.35">
      <c r="A221" t="s">
        <v>52</v>
      </c>
      <c r="B221" t="s">
        <v>54</v>
      </c>
      <c r="C221">
        <v>2030</v>
      </c>
      <c r="D221" t="s">
        <v>42</v>
      </c>
      <c r="E221">
        <v>2021</v>
      </c>
      <c r="F221" t="s">
        <v>29</v>
      </c>
      <c r="G221" t="s">
        <v>24</v>
      </c>
      <c r="H221" t="s">
        <v>30</v>
      </c>
      <c r="I221">
        <v>0</v>
      </c>
      <c r="J221">
        <v>0</v>
      </c>
      <c r="K221" t="s">
        <v>18</v>
      </c>
      <c r="L221" t="s">
        <v>18</v>
      </c>
      <c r="M221">
        <v>0</v>
      </c>
      <c r="N221">
        <v>0</v>
      </c>
      <c r="O221">
        <v>0</v>
      </c>
    </row>
    <row r="222" spans="1:15" x14ac:dyDescent="0.35">
      <c r="A222" t="s">
        <v>52</v>
      </c>
      <c r="B222" t="s">
        <v>55</v>
      </c>
      <c r="C222">
        <v>2030</v>
      </c>
      <c r="D222" t="s">
        <v>42</v>
      </c>
      <c r="E222">
        <v>2021</v>
      </c>
      <c r="F222" t="s">
        <v>29</v>
      </c>
      <c r="G222" t="s">
        <v>24</v>
      </c>
      <c r="H222" t="s">
        <v>30</v>
      </c>
      <c r="I222">
        <v>1069.6731890557</v>
      </c>
      <c r="J222">
        <v>4081.8471103128099</v>
      </c>
      <c r="K222">
        <v>0.48395382371590301</v>
      </c>
      <c r="L222">
        <v>3815.9758999998999</v>
      </c>
      <c r="M222">
        <v>183.941001590019</v>
      </c>
      <c r="N222">
        <v>2.3224873938134001E-2</v>
      </c>
      <c r="O222">
        <v>0</v>
      </c>
    </row>
    <row r="223" spans="1:15" x14ac:dyDescent="0.35">
      <c r="A223" t="s">
        <v>52</v>
      </c>
      <c r="B223" t="s">
        <v>56</v>
      </c>
      <c r="C223">
        <v>2030</v>
      </c>
      <c r="D223" t="s">
        <v>42</v>
      </c>
      <c r="E223">
        <v>2021</v>
      </c>
      <c r="F223" t="s">
        <v>29</v>
      </c>
      <c r="G223" t="s">
        <v>24</v>
      </c>
      <c r="H223" t="s">
        <v>30</v>
      </c>
      <c r="I223">
        <v>0</v>
      </c>
      <c r="J223">
        <v>0</v>
      </c>
      <c r="K223" t="s">
        <v>18</v>
      </c>
      <c r="L223" t="s">
        <v>18</v>
      </c>
      <c r="M223">
        <v>0</v>
      </c>
      <c r="N223">
        <v>0</v>
      </c>
      <c r="O223">
        <v>0</v>
      </c>
    </row>
    <row r="224" spans="1:15" x14ac:dyDescent="0.35">
      <c r="A224" t="s">
        <v>52</v>
      </c>
      <c r="B224" t="s">
        <v>57</v>
      </c>
      <c r="C224">
        <v>2030</v>
      </c>
      <c r="D224" t="s">
        <v>42</v>
      </c>
      <c r="E224">
        <v>2021</v>
      </c>
      <c r="F224" t="s">
        <v>29</v>
      </c>
      <c r="G224" t="s">
        <v>24</v>
      </c>
      <c r="H224" t="s">
        <v>30</v>
      </c>
      <c r="I224">
        <v>0</v>
      </c>
      <c r="J224">
        <v>0</v>
      </c>
      <c r="K224" t="s">
        <v>18</v>
      </c>
      <c r="L224" t="s">
        <v>18</v>
      </c>
      <c r="M224">
        <v>0</v>
      </c>
      <c r="N224">
        <v>0</v>
      </c>
      <c r="O224">
        <v>0</v>
      </c>
    </row>
    <row r="225" spans="1:15" x14ac:dyDescent="0.35">
      <c r="A225" t="s">
        <v>52</v>
      </c>
      <c r="B225" t="s">
        <v>11</v>
      </c>
      <c r="C225">
        <v>2030</v>
      </c>
      <c r="D225" t="s">
        <v>42</v>
      </c>
      <c r="E225">
        <v>2021</v>
      </c>
      <c r="F225" t="s">
        <v>29</v>
      </c>
      <c r="G225" t="s">
        <v>24</v>
      </c>
      <c r="H225" t="s">
        <v>30</v>
      </c>
      <c r="I225">
        <v>0</v>
      </c>
      <c r="J225">
        <v>0</v>
      </c>
      <c r="K225" t="s">
        <v>18</v>
      </c>
      <c r="L225" t="s">
        <v>18</v>
      </c>
      <c r="M225">
        <v>0</v>
      </c>
      <c r="N225">
        <v>0</v>
      </c>
      <c r="O225">
        <v>0</v>
      </c>
    </row>
    <row r="226" spans="1:15" x14ac:dyDescent="0.35">
      <c r="A226" t="s">
        <v>52</v>
      </c>
      <c r="B226" t="s">
        <v>12</v>
      </c>
      <c r="C226">
        <v>2030</v>
      </c>
      <c r="D226" t="s">
        <v>42</v>
      </c>
      <c r="E226">
        <v>2021</v>
      </c>
      <c r="F226" t="s">
        <v>29</v>
      </c>
      <c r="G226" t="s">
        <v>24</v>
      </c>
      <c r="H226" t="s">
        <v>30</v>
      </c>
      <c r="I226">
        <v>982.23251219988197</v>
      </c>
      <c r="J226">
        <v>36.5967201301047</v>
      </c>
      <c r="K226">
        <v>4.72526491747803E-3</v>
      </c>
      <c r="L226">
        <v>37.258713874314203</v>
      </c>
      <c r="M226">
        <v>0</v>
      </c>
      <c r="N226">
        <v>0</v>
      </c>
      <c r="O226">
        <v>0</v>
      </c>
    </row>
    <row r="227" spans="1:15" x14ac:dyDescent="0.35">
      <c r="A227" t="s">
        <v>52</v>
      </c>
      <c r="B227" t="s">
        <v>13</v>
      </c>
      <c r="C227">
        <v>2030</v>
      </c>
      <c r="D227" t="s">
        <v>42</v>
      </c>
      <c r="E227">
        <v>2021</v>
      </c>
      <c r="F227" t="s">
        <v>29</v>
      </c>
      <c r="G227" t="s">
        <v>24</v>
      </c>
      <c r="H227" t="s">
        <v>30</v>
      </c>
      <c r="I227">
        <v>116.388580528137</v>
      </c>
      <c r="J227">
        <v>9.7822682354589894</v>
      </c>
      <c r="K227">
        <v>1.0659270857968001E-2</v>
      </c>
      <c r="L227">
        <v>84.048350715077902</v>
      </c>
      <c r="M227">
        <v>0</v>
      </c>
      <c r="N227">
        <v>0</v>
      </c>
      <c r="O227">
        <v>0</v>
      </c>
    </row>
    <row r="228" spans="1:15" x14ac:dyDescent="0.35">
      <c r="A228" t="s">
        <v>52</v>
      </c>
      <c r="B228" t="s">
        <v>14</v>
      </c>
      <c r="C228">
        <v>2030</v>
      </c>
      <c r="D228" t="s">
        <v>42</v>
      </c>
      <c r="E228">
        <v>2021</v>
      </c>
      <c r="F228" t="s">
        <v>29</v>
      </c>
      <c r="G228" t="s">
        <v>24</v>
      </c>
      <c r="H228" t="s">
        <v>30</v>
      </c>
      <c r="I228">
        <v>116.388580528137</v>
      </c>
      <c r="J228">
        <v>9.7822682354589396</v>
      </c>
      <c r="K228">
        <v>1.0659270857968001E-2</v>
      </c>
      <c r="L228">
        <v>84.0483507150782</v>
      </c>
      <c r="M228">
        <v>0</v>
      </c>
      <c r="N228">
        <v>0</v>
      </c>
      <c r="O228">
        <v>0</v>
      </c>
    </row>
    <row r="229" spans="1:15" x14ac:dyDescent="0.35">
      <c r="A229" t="s">
        <v>52</v>
      </c>
      <c r="B229" t="s">
        <v>4</v>
      </c>
      <c r="C229">
        <v>2030</v>
      </c>
      <c r="D229" t="s">
        <v>42</v>
      </c>
      <c r="E229">
        <v>2021</v>
      </c>
      <c r="F229" t="s">
        <v>29</v>
      </c>
      <c r="G229" t="s">
        <v>24</v>
      </c>
      <c r="H229" t="s">
        <v>30</v>
      </c>
      <c r="I229">
        <v>116.388580528137</v>
      </c>
      <c r="J229">
        <v>473.09243405501701</v>
      </c>
      <c r="K229">
        <v>0.51550624804669198</v>
      </c>
      <c r="L229">
        <v>4064.76676584816</v>
      </c>
      <c r="M229">
        <v>2.0174020624877101E-3</v>
      </c>
      <c r="N229" s="10">
        <v>2.5472248263733999E-7</v>
      </c>
      <c r="O229">
        <v>0</v>
      </c>
    </row>
    <row r="230" spans="1:15" x14ac:dyDescent="0.35">
      <c r="A230" t="s">
        <v>58</v>
      </c>
      <c r="B230" t="s">
        <v>28</v>
      </c>
      <c r="C230">
        <v>2030</v>
      </c>
      <c r="D230" t="s">
        <v>42</v>
      </c>
      <c r="E230">
        <v>2015</v>
      </c>
      <c r="F230" t="s">
        <v>29</v>
      </c>
      <c r="G230" t="s">
        <v>24</v>
      </c>
      <c r="H230" t="s">
        <v>30</v>
      </c>
      <c r="I230">
        <v>85.548933436373403</v>
      </c>
      <c r="J230">
        <v>425.80645161291199</v>
      </c>
      <c r="K230">
        <v>0.63124207719563596</v>
      </c>
      <c r="L230">
        <v>4977.3437786875902</v>
      </c>
      <c r="M230">
        <v>0</v>
      </c>
      <c r="N230">
        <v>0</v>
      </c>
      <c r="O230">
        <v>1.9808528709398601E-2</v>
      </c>
    </row>
    <row r="231" spans="1:15" x14ac:dyDescent="0.35">
      <c r="A231" t="s">
        <v>58</v>
      </c>
      <c r="B231" t="s">
        <v>53</v>
      </c>
      <c r="C231">
        <v>2030</v>
      </c>
      <c r="D231" t="s">
        <v>42</v>
      </c>
      <c r="E231">
        <v>2015</v>
      </c>
      <c r="F231" t="s">
        <v>29</v>
      </c>
      <c r="G231" t="s">
        <v>24</v>
      </c>
      <c r="H231" t="s">
        <v>30</v>
      </c>
      <c r="I231">
        <v>186.42419576188999</v>
      </c>
      <c r="J231">
        <v>862.37429305237094</v>
      </c>
      <c r="K231">
        <v>0.58666722451870001</v>
      </c>
      <c r="L231">
        <v>4625.8710653299504</v>
      </c>
      <c r="M231">
        <v>0</v>
      </c>
      <c r="N231">
        <v>0</v>
      </c>
      <c r="O231">
        <v>0</v>
      </c>
    </row>
    <row r="232" spans="1:15" x14ac:dyDescent="0.35">
      <c r="A232" t="s">
        <v>58</v>
      </c>
      <c r="B232" t="s">
        <v>25</v>
      </c>
      <c r="C232">
        <v>2030</v>
      </c>
      <c r="D232" t="s">
        <v>42</v>
      </c>
      <c r="E232">
        <v>2015</v>
      </c>
      <c r="F232" t="s">
        <v>29</v>
      </c>
      <c r="G232" t="s">
        <v>24</v>
      </c>
      <c r="H232" t="s">
        <v>30</v>
      </c>
      <c r="I232">
        <v>16.571039623279098</v>
      </c>
      <c r="J232">
        <v>76.655492715764495</v>
      </c>
      <c r="K232">
        <v>0.58666722451870001</v>
      </c>
      <c r="L232">
        <v>4625.8710653299504</v>
      </c>
      <c r="M232">
        <v>7.8381017418110398E-3</v>
      </c>
      <c r="N232" s="10">
        <v>9.896593108347061E-7</v>
      </c>
      <c r="O232">
        <v>0</v>
      </c>
    </row>
    <row r="233" spans="1:15" x14ac:dyDescent="0.35">
      <c r="A233" t="s">
        <v>58</v>
      </c>
      <c r="B233" t="s">
        <v>31</v>
      </c>
      <c r="C233">
        <v>2030</v>
      </c>
      <c r="D233" t="s">
        <v>42</v>
      </c>
      <c r="E233">
        <v>2015</v>
      </c>
      <c r="F233" t="s">
        <v>29</v>
      </c>
      <c r="G233" t="s">
        <v>24</v>
      </c>
      <c r="H233" t="s">
        <v>30</v>
      </c>
      <c r="I233">
        <v>15.3988080185472</v>
      </c>
      <c r="J233">
        <v>76.645161290325206</v>
      </c>
      <c r="K233">
        <v>0.63124207719563596</v>
      </c>
      <c r="L233">
        <v>4977.3437786875902</v>
      </c>
      <c r="M233">
        <v>0</v>
      </c>
      <c r="N233">
        <v>0</v>
      </c>
      <c r="O233">
        <v>0</v>
      </c>
    </row>
    <row r="234" spans="1:15" x14ac:dyDescent="0.35">
      <c r="A234" t="s">
        <v>58</v>
      </c>
      <c r="B234" t="s">
        <v>8</v>
      </c>
      <c r="C234">
        <v>2030</v>
      </c>
      <c r="D234" t="s">
        <v>42</v>
      </c>
      <c r="E234">
        <v>2015</v>
      </c>
      <c r="F234" t="s">
        <v>29</v>
      </c>
      <c r="G234" t="s">
        <v>24</v>
      </c>
      <c r="H234" t="s">
        <v>30</v>
      </c>
      <c r="I234">
        <v>0</v>
      </c>
      <c r="J234">
        <v>0</v>
      </c>
      <c r="K234" t="s">
        <v>18</v>
      </c>
      <c r="L234" t="s">
        <v>18</v>
      </c>
      <c r="M234">
        <v>0</v>
      </c>
      <c r="N234">
        <v>0</v>
      </c>
      <c r="O234">
        <v>0</v>
      </c>
    </row>
    <row r="235" spans="1:15" x14ac:dyDescent="0.35">
      <c r="A235" t="s">
        <v>58</v>
      </c>
      <c r="B235" t="s">
        <v>9</v>
      </c>
      <c r="C235">
        <v>2030</v>
      </c>
      <c r="D235" t="s">
        <v>42</v>
      </c>
      <c r="E235">
        <v>2015</v>
      </c>
      <c r="F235" t="s">
        <v>29</v>
      </c>
      <c r="G235" t="s">
        <v>24</v>
      </c>
      <c r="H235" t="s">
        <v>30</v>
      </c>
      <c r="I235">
        <v>94.057220901732506</v>
      </c>
      <c r="J235">
        <v>435.09657665466602</v>
      </c>
      <c r="K235">
        <v>0.58666722451870001</v>
      </c>
      <c r="L235">
        <v>4625.8710653299504</v>
      </c>
      <c r="M235">
        <v>0</v>
      </c>
      <c r="N235">
        <v>0</v>
      </c>
      <c r="O235">
        <v>0</v>
      </c>
    </row>
    <row r="236" spans="1:15" x14ac:dyDescent="0.35">
      <c r="A236" t="s">
        <v>58</v>
      </c>
      <c r="B236" t="s">
        <v>10</v>
      </c>
      <c r="C236">
        <v>2030</v>
      </c>
      <c r="D236" t="s">
        <v>42</v>
      </c>
      <c r="E236">
        <v>2015</v>
      </c>
      <c r="F236" t="s">
        <v>29</v>
      </c>
      <c r="G236" t="s">
        <v>24</v>
      </c>
      <c r="H236" t="s">
        <v>30</v>
      </c>
      <c r="I236">
        <v>128.59126747664601</v>
      </c>
      <c r="J236">
        <v>594.84662347431004</v>
      </c>
      <c r="K236">
        <v>0.58666722451870001</v>
      </c>
      <c r="L236">
        <v>4625.8710653299504</v>
      </c>
      <c r="M236">
        <v>0</v>
      </c>
      <c r="N236">
        <v>0</v>
      </c>
      <c r="O236">
        <v>0</v>
      </c>
    </row>
    <row r="237" spans="1:15" x14ac:dyDescent="0.35">
      <c r="A237" t="s">
        <v>58</v>
      </c>
      <c r="B237" t="s">
        <v>33</v>
      </c>
      <c r="C237">
        <v>2030</v>
      </c>
      <c r="D237" t="s">
        <v>42</v>
      </c>
      <c r="E237">
        <v>2015</v>
      </c>
      <c r="F237" t="s">
        <v>29</v>
      </c>
      <c r="G237" t="s">
        <v>24</v>
      </c>
      <c r="H237" t="s">
        <v>30</v>
      </c>
      <c r="I237">
        <v>880.35640593347898</v>
      </c>
      <c r="J237">
        <v>6.47861494030853</v>
      </c>
      <c r="K237">
        <v>9.3330145267698898E-4</v>
      </c>
      <c r="L237">
        <v>7.3590819543580599</v>
      </c>
      <c r="M237">
        <v>0</v>
      </c>
      <c r="N237">
        <v>0</v>
      </c>
      <c r="O237">
        <v>0</v>
      </c>
    </row>
    <row r="238" spans="1:15" x14ac:dyDescent="0.35">
      <c r="A238" t="s">
        <v>58</v>
      </c>
      <c r="B238" t="s">
        <v>34</v>
      </c>
      <c r="C238">
        <v>2030</v>
      </c>
      <c r="D238" t="s">
        <v>42</v>
      </c>
      <c r="E238">
        <v>2015</v>
      </c>
      <c r="F238" t="s">
        <v>29</v>
      </c>
      <c r="G238" t="s">
        <v>24</v>
      </c>
      <c r="H238" t="s">
        <v>30</v>
      </c>
      <c r="I238">
        <v>895.755213952026</v>
      </c>
      <c r="J238">
        <v>6.46828351486581</v>
      </c>
      <c r="K238">
        <v>9.1579444533503203E-4</v>
      </c>
      <c r="L238">
        <v>7.2210392014667297</v>
      </c>
      <c r="M238">
        <v>0</v>
      </c>
      <c r="N238">
        <v>0</v>
      </c>
      <c r="O238">
        <v>0</v>
      </c>
    </row>
    <row r="239" spans="1:15" x14ac:dyDescent="0.35">
      <c r="A239" t="s">
        <v>58</v>
      </c>
      <c r="B239" t="s">
        <v>35</v>
      </c>
      <c r="C239">
        <v>2030</v>
      </c>
      <c r="D239" t="s">
        <v>42</v>
      </c>
      <c r="E239">
        <v>2015</v>
      </c>
      <c r="F239" t="s">
        <v>29</v>
      </c>
      <c r="G239" t="s">
        <v>24</v>
      </c>
      <c r="H239" t="s">
        <v>30</v>
      </c>
      <c r="I239">
        <v>114.793616030363</v>
      </c>
      <c r="J239">
        <v>513.93793700527897</v>
      </c>
      <c r="K239">
        <v>0.56779458021569895</v>
      </c>
      <c r="L239">
        <v>4477.0602650007804</v>
      </c>
      <c r="M239">
        <v>0.114793616030363</v>
      </c>
      <c r="N239" s="10">
        <v>1.44941434381768E-5</v>
      </c>
      <c r="O239">
        <v>0</v>
      </c>
    </row>
    <row r="240" spans="1:15" x14ac:dyDescent="0.35">
      <c r="A240" t="s">
        <v>58</v>
      </c>
      <c r="B240" t="s">
        <v>54</v>
      </c>
      <c r="C240">
        <v>2030</v>
      </c>
      <c r="D240" t="s">
        <v>42</v>
      </c>
      <c r="E240">
        <v>2015</v>
      </c>
      <c r="F240" t="s">
        <v>29</v>
      </c>
      <c r="G240" t="s">
        <v>24</v>
      </c>
      <c r="H240" t="s">
        <v>30</v>
      </c>
      <c r="I240">
        <v>0</v>
      </c>
      <c r="J240">
        <v>0</v>
      </c>
      <c r="K240" t="s">
        <v>18</v>
      </c>
      <c r="L240" t="s">
        <v>18</v>
      </c>
      <c r="M240">
        <v>0</v>
      </c>
      <c r="N240">
        <v>0</v>
      </c>
      <c r="O240">
        <v>0</v>
      </c>
    </row>
    <row r="241" spans="1:15" x14ac:dyDescent="0.35">
      <c r="A241" t="s">
        <v>58</v>
      </c>
      <c r="B241" t="s">
        <v>55</v>
      </c>
      <c r="C241">
        <v>2030</v>
      </c>
      <c r="D241" t="s">
        <v>42</v>
      </c>
      <c r="E241">
        <v>2015</v>
      </c>
      <c r="F241" t="s">
        <v>29</v>
      </c>
      <c r="G241" t="s">
        <v>24</v>
      </c>
      <c r="H241" t="s">
        <v>30</v>
      </c>
      <c r="I241">
        <v>911.612675393514</v>
      </c>
      <c r="J241">
        <v>4023.7015518070102</v>
      </c>
      <c r="K241">
        <v>0.559775269499029</v>
      </c>
      <c r="L241">
        <v>4413.8279999998404</v>
      </c>
      <c r="M241">
        <v>156.76091566066799</v>
      </c>
      <c r="N241">
        <v>1.9793044906649598E-2</v>
      </c>
      <c r="O241">
        <v>0</v>
      </c>
    </row>
    <row r="242" spans="1:15" x14ac:dyDescent="0.35">
      <c r="A242" t="s">
        <v>58</v>
      </c>
      <c r="B242" t="s">
        <v>56</v>
      </c>
      <c r="C242">
        <v>2030</v>
      </c>
      <c r="D242" t="s">
        <v>42</v>
      </c>
      <c r="E242">
        <v>2015</v>
      </c>
      <c r="F242" t="s">
        <v>29</v>
      </c>
      <c r="G242" t="s">
        <v>24</v>
      </c>
      <c r="H242" t="s">
        <v>30</v>
      </c>
      <c r="I242">
        <v>0</v>
      </c>
      <c r="J242">
        <v>0</v>
      </c>
      <c r="K242" t="s">
        <v>18</v>
      </c>
      <c r="L242" t="s">
        <v>18</v>
      </c>
      <c r="M242">
        <v>0</v>
      </c>
      <c r="N242">
        <v>0</v>
      </c>
      <c r="O242">
        <v>0</v>
      </c>
    </row>
    <row r="243" spans="1:15" x14ac:dyDescent="0.35">
      <c r="A243" t="s">
        <v>58</v>
      </c>
      <c r="B243" t="s">
        <v>57</v>
      </c>
      <c r="C243">
        <v>2030</v>
      </c>
      <c r="D243" t="s">
        <v>42</v>
      </c>
      <c r="E243">
        <v>2015</v>
      </c>
      <c r="F243" t="s">
        <v>29</v>
      </c>
      <c r="G243" t="s">
        <v>24</v>
      </c>
      <c r="H243" t="s">
        <v>30</v>
      </c>
      <c r="I243">
        <v>0</v>
      </c>
      <c r="J243">
        <v>0</v>
      </c>
      <c r="K243" t="s">
        <v>18</v>
      </c>
      <c r="L243" t="s">
        <v>18</v>
      </c>
      <c r="M243">
        <v>0</v>
      </c>
      <c r="N243">
        <v>0</v>
      </c>
      <c r="O243">
        <v>0</v>
      </c>
    </row>
    <row r="244" spans="1:15" x14ac:dyDescent="0.35">
      <c r="A244" t="s">
        <v>58</v>
      </c>
      <c r="B244" t="s">
        <v>11</v>
      </c>
      <c r="C244">
        <v>2030</v>
      </c>
      <c r="D244" t="s">
        <v>42</v>
      </c>
      <c r="E244">
        <v>2015</v>
      </c>
      <c r="F244" t="s">
        <v>29</v>
      </c>
      <c r="G244" t="s">
        <v>24</v>
      </c>
      <c r="H244" t="s">
        <v>30</v>
      </c>
      <c r="I244">
        <v>0</v>
      </c>
      <c r="J244">
        <v>0</v>
      </c>
      <c r="K244" t="s">
        <v>18</v>
      </c>
      <c r="L244" t="s">
        <v>18</v>
      </c>
      <c r="M244">
        <v>0</v>
      </c>
      <c r="N244">
        <v>0</v>
      </c>
      <c r="O244">
        <v>0</v>
      </c>
    </row>
    <row r="245" spans="1:15" x14ac:dyDescent="0.35">
      <c r="A245" t="s">
        <v>58</v>
      </c>
      <c r="B245" t="s">
        <v>12</v>
      </c>
      <c r="C245">
        <v>2030</v>
      </c>
      <c r="D245" t="s">
        <v>42</v>
      </c>
      <c r="E245">
        <v>2015</v>
      </c>
      <c r="F245" t="s">
        <v>29</v>
      </c>
      <c r="G245" t="s">
        <v>24</v>
      </c>
      <c r="H245" t="s">
        <v>30</v>
      </c>
      <c r="I245">
        <v>827.53502157747005</v>
      </c>
      <c r="J245">
        <v>6.3992775593957001</v>
      </c>
      <c r="K245">
        <v>9.8071511201395806E-4</v>
      </c>
      <c r="L245">
        <v>7.7329386582300597</v>
      </c>
      <c r="M245">
        <v>0</v>
      </c>
      <c r="N245">
        <v>0</v>
      </c>
      <c r="O245">
        <v>0</v>
      </c>
    </row>
    <row r="246" spans="1:15" x14ac:dyDescent="0.35">
      <c r="A246" t="s">
        <v>58</v>
      </c>
      <c r="B246" t="s">
        <v>13</v>
      </c>
      <c r="C246">
        <v>2030</v>
      </c>
      <c r="D246" t="s">
        <v>42</v>
      </c>
      <c r="E246">
        <v>2015</v>
      </c>
      <c r="F246" t="s">
        <v>29</v>
      </c>
      <c r="G246" t="s">
        <v>24</v>
      </c>
      <c r="H246" t="s">
        <v>30</v>
      </c>
      <c r="I246">
        <v>0</v>
      </c>
      <c r="J246">
        <v>0</v>
      </c>
      <c r="K246" t="s">
        <v>18</v>
      </c>
      <c r="L246" t="s">
        <v>18</v>
      </c>
      <c r="M246">
        <v>0</v>
      </c>
      <c r="N246">
        <v>0</v>
      </c>
      <c r="O246">
        <v>0</v>
      </c>
    </row>
    <row r="247" spans="1:15" x14ac:dyDescent="0.35">
      <c r="A247" t="s">
        <v>58</v>
      </c>
      <c r="B247" t="s">
        <v>14</v>
      </c>
      <c r="C247">
        <v>2030</v>
      </c>
      <c r="D247" t="s">
        <v>42</v>
      </c>
      <c r="E247">
        <v>2015</v>
      </c>
      <c r="F247" t="s">
        <v>29</v>
      </c>
      <c r="G247" t="s">
        <v>24</v>
      </c>
      <c r="H247" t="s">
        <v>30</v>
      </c>
      <c r="I247">
        <v>0</v>
      </c>
      <c r="J247">
        <v>0</v>
      </c>
      <c r="K247" t="s">
        <v>18</v>
      </c>
      <c r="L247" t="s">
        <v>18</v>
      </c>
      <c r="M247">
        <v>0</v>
      </c>
      <c r="N247">
        <v>0</v>
      </c>
      <c r="O247">
        <v>0</v>
      </c>
    </row>
    <row r="248" spans="1:15" x14ac:dyDescent="0.35">
      <c r="A248" t="s">
        <v>58</v>
      </c>
      <c r="B248" t="s">
        <v>4</v>
      </c>
      <c r="C248">
        <v>2030</v>
      </c>
      <c r="D248" t="s">
        <v>42</v>
      </c>
      <c r="E248">
        <v>2015</v>
      </c>
      <c r="F248" t="s">
        <v>29</v>
      </c>
      <c r="G248" t="s">
        <v>24</v>
      </c>
      <c r="H248" t="s">
        <v>30</v>
      </c>
      <c r="I248">
        <v>0</v>
      </c>
      <c r="J248">
        <v>0</v>
      </c>
      <c r="K248" t="s">
        <v>18</v>
      </c>
      <c r="L248" t="s">
        <v>18</v>
      </c>
      <c r="M248">
        <v>0</v>
      </c>
      <c r="N248">
        <v>0</v>
      </c>
      <c r="O248">
        <v>0</v>
      </c>
    </row>
    <row r="249" spans="1:15" x14ac:dyDescent="0.35">
      <c r="A249" t="s">
        <v>58</v>
      </c>
      <c r="B249" t="s">
        <v>28</v>
      </c>
      <c r="C249">
        <v>2030</v>
      </c>
      <c r="D249" t="s">
        <v>42</v>
      </c>
      <c r="E249">
        <v>2016</v>
      </c>
      <c r="F249" t="s">
        <v>29</v>
      </c>
      <c r="G249" t="s">
        <v>24</v>
      </c>
      <c r="H249" t="s">
        <v>30</v>
      </c>
      <c r="I249">
        <v>104.98044729223901</v>
      </c>
      <c r="J249">
        <v>425.80645161290499</v>
      </c>
      <c r="K249">
        <v>0.51440137508575501</v>
      </c>
      <c r="L249">
        <v>4056.0548425511802</v>
      </c>
      <c r="M249">
        <v>0</v>
      </c>
      <c r="N249">
        <v>0</v>
      </c>
      <c r="O249">
        <v>2.3906052968377899E-2</v>
      </c>
    </row>
    <row r="250" spans="1:15" x14ac:dyDescent="0.35">
      <c r="A250" t="s">
        <v>58</v>
      </c>
      <c r="B250" t="s">
        <v>53</v>
      </c>
      <c r="C250">
        <v>2030</v>
      </c>
      <c r="D250" t="s">
        <v>42</v>
      </c>
      <c r="E250">
        <v>2016</v>
      </c>
      <c r="F250" t="s">
        <v>29</v>
      </c>
      <c r="G250" t="s">
        <v>24</v>
      </c>
      <c r="H250" t="s">
        <v>30</v>
      </c>
      <c r="I250">
        <v>219.16277013697399</v>
      </c>
      <c r="J250">
        <v>862.30500079856904</v>
      </c>
      <c r="K250">
        <v>0.49899067065654701</v>
      </c>
      <c r="L250">
        <v>3934.5414381268702</v>
      </c>
      <c r="M250">
        <v>0</v>
      </c>
      <c r="N250">
        <v>0</v>
      </c>
      <c r="O250">
        <v>0</v>
      </c>
    </row>
    <row r="251" spans="1:15" x14ac:dyDescent="0.35">
      <c r="A251" t="s">
        <v>58</v>
      </c>
      <c r="B251" t="s">
        <v>25</v>
      </c>
      <c r="C251">
        <v>2030</v>
      </c>
      <c r="D251" t="s">
        <v>42</v>
      </c>
      <c r="E251">
        <v>2016</v>
      </c>
      <c r="F251" t="s">
        <v>29</v>
      </c>
      <c r="G251" t="s">
        <v>24</v>
      </c>
      <c r="H251" t="s">
        <v>30</v>
      </c>
      <c r="I251">
        <v>19.481135123286599</v>
      </c>
      <c r="J251">
        <v>76.649333404321098</v>
      </c>
      <c r="K251">
        <v>0.49899067065654701</v>
      </c>
      <c r="L251">
        <v>3934.5414381268702</v>
      </c>
      <c r="M251">
        <v>9.2145769133145598E-3</v>
      </c>
      <c r="N251" s="10">
        <v>1.1634566809740499E-6</v>
      </c>
      <c r="O251">
        <v>0</v>
      </c>
    </row>
    <row r="252" spans="1:15" x14ac:dyDescent="0.35">
      <c r="A252" t="s">
        <v>58</v>
      </c>
      <c r="B252" t="s">
        <v>31</v>
      </c>
      <c r="C252">
        <v>2030</v>
      </c>
      <c r="D252" t="s">
        <v>42</v>
      </c>
      <c r="E252">
        <v>2016</v>
      </c>
      <c r="F252" t="s">
        <v>29</v>
      </c>
      <c r="G252" t="s">
        <v>24</v>
      </c>
      <c r="H252" t="s">
        <v>30</v>
      </c>
      <c r="I252">
        <v>18.896480512603102</v>
      </c>
      <c r="J252">
        <v>76.645161290319095</v>
      </c>
      <c r="K252">
        <v>0.51440137508575501</v>
      </c>
      <c r="L252">
        <v>4056.0548425511802</v>
      </c>
      <c r="M252">
        <v>0</v>
      </c>
      <c r="N252">
        <v>0</v>
      </c>
      <c r="O252">
        <v>0</v>
      </c>
    </row>
    <row r="253" spans="1:15" x14ac:dyDescent="0.35">
      <c r="A253" t="s">
        <v>58</v>
      </c>
      <c r="B253" t="s">
        <v>8</v>
      </c>
      <c r="C253">
        <v>2030</v>
      </c>
      <c r="D253" t="s">
        <v>42</v>
      </c>
      <c r="E253">
        <v>2016</v>
      </c>
      <c r="F253" t="s">
        <v>29</v>
      </c>
      <c r="G253" t="s">
        <v>24</v>
      </c>
      <c r="H253" t="s">
        <v>30</v>
      </c>
      <c r="I253">
        <v>0</v>
      </c>
      <c r="J253">
        <v>0</v>
      </c>
      <c r="K253" t="s">
        <v>18</v>
      </c>
      <c r="L253" t="s">
        <v>18</v>
      </c>
      <c r="M253">
        <v>0</v>
      </c>
      <c r="N253">
        <v>0</v>
      </c>
      <c r="O253">
        <v>0</v>
      </c>
    </row>
    <row r="254" spans="1:15" x14ac:dyDescent="0.35">
      <c r="A254" t="s">
        <v>58</v>
      </c>
      <c r="B254" t="s">
        <v>9</v>
      </c>
      <c r="C254">
        <v>2030</v>
      </c>
      <c r="D254" t="s">
        <v>42</v>
      </c>
      <c r="E254">
        <v>2016</v>
      </c>
      <c r="F254" t="s">
        <v>29</v>
      </c>
      <c r="G254" t="s">
        <v>24</v>
      </c>
      <c r="H254" t="s">
        <v>30</v>
      </c>
      <c r="I254">
        <v>110.574922959774</v>
      </c>
      <c r="J254">
        <v>435.06161640294499</v>
      </c>
      <c r="K254">
        <v>0.49899067065654701</v>
      </c>
      <c r="L254">
        <v>3934.5414381268702</v>
      </c>
      <c r="M254">
        <v>0</v>
      </c>
      <c r="N254">
        <v>0</v>
      </c>
      <c r="O254">
        <v>0</v>
      </c>
    </row>
    <row r="255" spans="1:15" x14ac:dyDescent="0.35">
      <c r="A255" t="s">
        <v>58</v>
      </c>
      <c r="B255" t="s">
        <v>10</v>
      </c>
      <c r="C255">
        <v>2030</v>
      </c>
      <c r="D255" t="s">
        <v>42</v>
      </c>
      <c r="E255">
        <v>2016</v>
      </c>
      <c r="F255" t="s">
        <v>29</v>
      </c>
      <c r="G255" t="s">
        <v>24</v>
      </c>
      <c r="H255" t="s">
        <v>30</v>
      </c>
      <c r="I255">
        <v>151.17360855670401</v>
      </c>
      <c r="J255">
        <v>594.79882721752006</v>
      </c>
      <c r="K255">
        <v>0.49899067065654701</v>
      </c>
      <c r="L255">
        <v>3934.5414381268702</v>
      </c>
      <c r="M255">
        <v>0</v>
      </c>
      <c r="N255">
        <v>0</v>
      </c>
      <c r="O255">
        <v>0</v>
      </c>
    </row>
    <row r="256" spans="1:15" x14ac:dyDescent="0.35">
      <c r="A256" t="s">
        <v>58</v>
      </c>
      <c r="B256" t="s">
        <v>33</v>
      </c>
      <c r="C256">
        <v>2030</v>
      </c>
      <c r="D256" t="s">
        <v>42</v>
      </c>
      <c r="E256">
        <v>2016</v>
      </c>
      <c r="F256" t="s">
        <v>29</v>
      </c>
      <c r="G256" t="s">
        <v>24</v>
      </c>
      <c r="H256" t="s">
        <v>30</v>
      </c>
      <c r="I256">
        <v>1036.88324833907</v>
      </c>
      <c r="J256">
        <v>7.1061179428168302</v>
      </c>
      <c r="K256">
        <v>8.6916225003365495E-4</v>
      </c>
      <c r="L256">
        <v>6.8533443415153696</v>
      </c>
      <c r="M256">
        <v>0</v>
      </c>
      <c r="N256">
        <v>0</v>
      </c>
      <c r="O256">
        <v>0</v>
      </c>
    </row>
    <row r="257" spans="1:15" x14ac:dyDescent="0.35">
      <c r="A257" t="s">
        <v>58</v>
      </c>
      <c r="B257" t="s">
        <v>34</v>
      </c>
      <c r="C257">
        <v>2030</v>
      </c>
      <c r="D257" t="s">
        <v>42</v>
      </c>
      <c r="E257">
        <v>2016</v>
      </c>
      <c r="F257" t="s">
        <v>29</v>
      </c>
      <c r="G257" t="s">
        <v>24</v>
      </c>
      <c r="H257" t="s">
        <v>30</v>
      </c>
      <c r="I257">
        <v>1055.7797288516699</v>
      </c>
      <c r="J257">
        <v>7.1019458288147597</v>
      </c>
      <c r="K257">
        <v>8.5310470752539204E-4</v>
      </c>
      <c r="L257">
        <v>6.7267306188377098</v>
      </c>
      <c r="M257">
        <v>0</v>
      </c>
      <c r="N257">
        <v>0</v>
      </c>
      <c r="O257">
        <v>0</v>
      </c>
    </row>
    <row r="258" spans="1:15" x14ac:dyDescent="0.35">
      <c r="A258" t="s">
        <v>58</v>
      </c>
      <c r="B258" t="s">
        <v>35</v>
      </c>
      <c r="C258">
        <v>2030</v>
      </c>
      <c r="D258" t="s">
        <v>42</v>
      </c>
      <c r="E258">
        <v>2016</v>
      </c>
      <c r="F258" t="s">
        <v>29</v>
      </c>
      <c r="G258" t="s">
        <v>24</v>
      </c>
      <c r="H258" t="s">
        <v>30</v>
      </c>
      <c r="I258">
        <v>46.356822244338197</v>
      </c>
      <c r="J258">
        <v>231.851572361986</v>
      </c>
      <c r="K258">
        <v>0.63429996931940402</v>
      </c>
      <c r="L258">
        <v>5001.4552580834998</v>
      </c>
      <c r="M258">
        <v>4.6356822244338201E-2</v>
      </c>
      <c r="N258" s="10">
        <v>5.8531341217598397E-6</v>
      </c>
      <c r="O258">
        <v>0</v>
      </c>
    </row>
    <row r="259" spans="1:15" x14ac:dyDescent="0.35">
      <c r="A259" t="s">
        <v>58</v>
      </c>
      <c r="B259" t="s">
        <v>54</v>
      </c>
      <c r="C259">
        <v>2030</v>
      </c>
      <c r="D259" t="s">
        <v>42</v>
      </c>
      <c r="E259">
        <v>2016</v>
      </c>
      <c r="F259" t="s">
        <v>29</v>
      </c>
      <c r="G259" t="s">
        <v>24</v>
      </c>
      <c r="H259" t="s">
        <v>30</v>
      </c>
      <c r="I259">
        <v>0</v>
      </c>
      <c r="J259">
        <v>0</v>
      </c>
      <c r="K259" t="s">
        <v>18</v>
      </c>
      <c r="L259" t="s">
        <v>18</v>
      </c>
      <c r="M259">
        <v>0</v>
      </c>
      <c r="N259">
        <v>0</v>
      </c>
      <c r="O259">
        <v>0</v>
      </c>
    </row>
    <row r="260" spans="1:15" x14ac:dyDescent="0.35">
      <c r="A260" t="s">
        <v>58</v>
      </c>
      <c r="B260" t="s">
        <v>55</v>
      </c>
      <c r="C260">
        <v>2030</v>
      </c>
      <c r="D260" t="s">
        <v>42</v>
      </c>
      <c r="E260">
        <v>2016</v>
      </c>
      <c r="F260" t="s">
        <v>29</v>
      </c>
      <c r="G260" t="s">
        <v>24</v>
      </c>
      <c r="H260" t="s">
        <v>30</v>
      </c>
      <c r="I260">
        <v>1100.7232386042999</v>
      </c>
      <c r="J260">
        <v>4061.1732048477602</v>
      </c>
      <c r="K260">
        <v>0.46792007609383501</v>
      </c>
      <c r="L260">
        <v>3689.5497999998902</v>
      </c>
      <c r="M260">
        <v>189.28036811039601</v>
      </c>
      <c r="N260">
        <v>2.3899036377575199E-2</v>
      </c>
      <c r="O260">
        <v>0</v>
      </c>
    </row>
    <row r="261" spans="1:15" x14ac:dyDescent="0.35">
      <c r="A261" t="s">
        <v>58</v>
      </c>
      <c r="B261" t="s">
        <v>56</v>
      </c>
      <c r="C261">
        <v>2030</v>
      </c>
      <c r="D261" t="s">
        <v>42</v>
      </c>
      <c r="E261">
        <v>2016</v>
      </c>
      <c r="F261" t="s">
        <v>29</v>
      </c>
      <c r="G261" t="s">
        <v>24</v>
      </c>
      <c r="H261" t="s">
        <v>30</v>
      </c>
      <c r="I261">
        <v>0</v>
      </c>
      <c r="J261">
        <v>0</v>
      </c>
      <c r="K261" t="s">
        <v>18</v>
      </c>
      <c r="L261" t="s">
        <v>18</v>
      </c>
      <c r="M261">
        <v>0</v>
      </c>
      <c r="N261">
        <v>0</v>
      </c>
      <c r="O261">
        <v>0</v>
      </c>
    </row>
    <row r="262" spans="1:15" x14ac:dyDescent="0.35">
      <c r="A262" t="s">
        <v>58</v>
      </c>
      <c r="B262" t="s">
        <v>57</v>
      </c>
      <c r="C262">
        <v>2030</v>
      </c>
      <c r="D262" t="s">
        <v>42</v>
      </c>
      <c r="E262">
        <v>2016</v>
      </c>
      <c r="F262" t="s">
        <v>29</v>
      </c>
      <c r="G262" t="s">
        <v>24</v>
      </c>
      <c r="H262" t="s">
        <v>30</v>
      </c>
      <c r="I262">
        <v>0</v>
      </c>
      <c r="J262">
        <v>0</v>
      </c>
      <c r="K262" t="s">
        <v>18</v>
      </c>
      <c r="L262" t="s">
        <v>18</v>
      </c>
      <c r="M262">
        <v>0</v>
      </c>
      <c r="N262">
        <v>0</v>
      </c>
      <c r="O262">
        <v>0</v>
      </c>
    </row>
    <row r="263" spans="1:15" x14ac:dyDescent="0.35">
      <c r="A263" t="s">
        <v>58</v>
      </c>
      <c r="B263" t="s">
        <v>11</v>
      </c>
      <c r="C263">
        <v>2030</v>
      </c>
      <c r="D263" t="s">
        <v>42</v>
      </c>
      <c r="E263">
        <v>2016</v>
      </c>
      <c r="F263" t="s">
        <v>29</v>
      </c>
      <c r="G263" t="s">
        <v>24</v>
      </c>
      <c r="H263" t="s">
        <v>30</v>
      </c>
      <c r="I263">
        <v>0</v>
      </c>
      <c r="J263">
        <v>0</v>
      </c>
      <c r="K263" t="s">
        <v>18</v>
      </c>
      <c r="L263" t="s">
        <v>18</v>
      </c>
      <c r="M263">
        <v>0</v>
      </c>
      <c r="N263">
        <v>0</v>
      </c>
      <c r="O263">
        <v>0</v>
      </c>
    </row>
    <row r="264" spans="1:15" x14ac:dyDescent="0.35">
      <c r="A264" t="s">
        <v>58</v>
      </c>
      <c r="B264" t="s">
        <v>12</v>
      </c>
      <c r="C264">
        <v>2030</v>
      </c>
      <c r="D264" t="s">
        <v>42</v>
      </c>
      <c r="E264">
        <v>2016</v>
      </c>
      <c r="F264" t="s">
        <v>29</v>
      </c>
      <c r="G264" t="s">
        <v>24</v>
      </c>
      <c r="H264" t="s">
        <v>30</v>
      </c>
      <c r="I264">
        <v>184.148819380661</v>
      </c>
      <c r="J264">
        <v>43.5879847184911</v>
      </c>
      <c r="K264">
        <v>3.0018995343445001E-2</v>
      </c>
      <c r="L264">
        <v>236.69977828306301</v>
      </c>
      <c r="M264">
        <v>0</v>
      </c>
      <c r="N264">
        <v>0</v>
      </c>
      <c r="O264">
        <v>0</v>
      </c>
    </row>
    <row r="265" spans="1:15" x14ac:dyDescent="0.35">
      <c r="A265" t="s">
        <v>58</v>
      </c>
      <c r="B265" t="s">
        <v>13</v>
      </c>
      <c r="C265">
        <v>2030</v>
      </c>
      <c r="D265" t="s">
        <v>42</v>
      </c>
      <c r="E265">
        <v>2016</v>
      </c>
      <c r="F265" t="s">
        <v>29</v>
      </c>
      <c r="G265" t="s">
        <v>24</v>
      </c>
      <c r="H265" t="s">
        <v>30</v>
      </c>
      <c r="I265">
        <v>0</v>
      </c>
      <c r="J265">
        <v>0</v>
      </c>
      <c r="K265" t="s">
        <v>18</v>
      </c>
      <c r="L265" t="s">
        <v>18</v>
      </c>
      <c r="M265">
        <v>0</v>
      </c>
      <c r="N265">
        <v>0</v>
      </c>
      <c r="O265">
        <v>0</v>
      </c>
    </row>
    <row r="266" spans="1:15" x14ac:dyDescent="0.35">
      <c r="A266" t="s">
        <v>58</v>
      </c>
      <c r="B266" t="s">
        <v>14</v>
      </c>
      <c r="C266">
        <v>2030</v>
      </c>
      <c r="D266" t="s">
        <v>42</v>
      </c>
      <c r="E266">
        <v>2016</v>
      </c>
      <c r="F266" t="s">
        <v>29</v>
      </c>
      <c r="G266" t="s">
        <v>24</v>
      </c>
      <c r="H266" t="s">
        <v>30</v>
      </c>
      <c r="I266">
        <v>0</v>
      </c>
      <c r="J266">
        <v>0</v>
      </c>
      <c r="K266" t="s">
        <v>18</v>
      </c>
      <c r="L266" t="s">
        <v>18</v>
      </c>
      <c r="M266">
        <v>0</v>
      </c>
      <c r="N266">
        <v>0</v>
      </c>
      <c r="O266">
        <v>0</v>
      </c>
    </row>
    <row r="267" spans="1:15" x14ac:dyDescent="0.35">
      <c r="A267" t="s">
        <v>58</v>
      </c>
      <c r="B267" t="s">
        <v>4</v>
      </c>
      <c r="C267">
        <v>2030</v>
      </c>
      <c r="D267" t="s">
        <v>42</v>
      </c>
      <c r="E267">
        <v>2016</v>
      </c>
      <c r="F267" t="s">
        <v>29</v>
      </c>
      <c r="G267" t="s">
        <v>24</v>
      </c>
      <c r="H267" t="s">
        <v>30</v>
      </c>
      <c r="I267">
        <v>0</v>
      </c>
      <c r="J267">
        <v>0</v>
      </c>
      <c r="K267" t="s">
        <v>18</v>
      </c>
      <c r="L267" t="s">
        <v>18</v>
      </c>
      <c r="M267">
        <v>0</v>
      </c>
      <c r="N267">
        <v>0</v>
      </c>
      <c r="O267">
        <v>0</v>
      </c>
    </row>
  </sheetData>
  <pageMargins left="0.7" right="0.7" top="0.75" bottom="0.75" header="0.3" footer="0.3"/>
  <pageSetup paperSize="9" orientation="portrait" horizontalDpi="4294967293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X53"/>
  <sheetViews>
    <sheetView topLeftCell="A7" workbookViewId="0">
      <selection activeCell="I22" sqref="I22"/>
    </sheetView>
  </sheetViews>
  <sheetFormatPr defaultRowHeight="14.5" x14ac:dyDescent="0.35"/>
  <cols>
    <col min="1" max="1" width="32.1796875" customWidth="1"/>
    <col min="2" max="2" width="15.26953125" customWidth="1"/>
    <col min="3" max="8" width="5.36328125" customWidth="1"/>
    <col min="9" max="9" width="18" customWidth="1"/>
    <col min="10" max="15" width="4.81640625" customWidth="1"/>
    <col min="16" max="16" width="11.81640625" customWidth="1"/>
    <col min="17" max="17" width="12.26953125" customWidth="1"/>
    <col min="18" max="18" width="11.81640625" customWidth="1"/>
    <col min="19" max="19" width="12.26953125" customWidth="1"/>
    <col min="20" max="20" width="11.453125" customWidth="1"/>
    <col min="21" max="22" width="11.81640625" customWidth="1"/>
    <col min="23" max="23" width="10.7265625" customWidth="1"/>
    <col min="24" max="24" width="11.81640625" customWidth="1"/>
    <col min="25" max="25" width="12.26953125" customWidth="1"/>
    <col min="26" max="28" width="11.81640625" customWidth="1"/>
    <col min="29" max="29" width="21.08984375" customWidth="1"/>
    <col min="30" max="30" width="18.90625" customWidth="1"/>
    <col min="31" max="31" width="11.81640625" customWidth="1"/>
    <col min="32" max="32" width="12.08984375" customWidth="1"/>
    <col min="33" max="33" width="15.08984375" customWidth="1"/>
    <col min="34" max="35" width="11.81640625" customWidth="1"/>
    <col min="36" max="36" width="21.90625" bestFit="1" customWidth="1"/>
    <col min="37" max="37" width="22.36328125" bestFit="1" customWidth="1"/>
    <col min="38" max="38" width="10.7265625" customWidth="1"/>
    <col min="39" max="39" width="12.08984375" customWidth="1"/>
    <col min="40" max="40" width="15.08984375" bestFit="1" customWidth="1"/>
    <col min="41" max="41" width="8.08984375" customWidth="1"/>
    <col min="42" max="42" width="11" customWidth="1"/>
    <col min="43" max="43" width="25.453125" bestFit="1" customWidth="1"/>
    <col min="44" max="44" width="20.08984375" bestFit="1" customWidth="1"/>
    <col min="45" max="45" width="11.81640625" bestFit="1" customWidth="1"/>
    <col min="46" max="46" width="12.08984375" bestFit="1" customWidth="1"/>
    <col min="47" max="47" width="15.08984375" bestFit="1" customWidth="1"/>
    <col min="48" max="49" width="11.81640625" bestFit="1" customWidth="1"/>
    <col min="50" max="50" width="23.08984375" bestFit="1" customWidth="1"/>
    <col min="51" max="51" width="16.1796875" bestFit="1" customWidth="1"/>
    <col min="52" max="52" width="10.81640625" bestFit="1" customWidth="1"/>
    <col min="53" max="53" width="12.08984375" bestFit="1" customWidth="1"/>
    <col min="54" max="54" width="15.08984375" bestFit="1" customWidth="1"/>
    <col min="55" max="56" width="11.81640625" bestFit="1" customWidth="1"/>
    <col min="57" max="57" width="19.1796875" bestFit="1" customWidth="1"/>
    <col min="58" max="58" width="29.1796875" bestFit="1" customWidth="1"/>
    <col min="59" max="59" width="11.81640625" bestFit="1" customWidth="1"/>
    <col min="60" max="60" width="12.08984375" bestFit="1" customWidth="1"/>
    <col min="61" max="61" width="15.08984375" bestFit="1" customWidth="1"/>
    <col min="62" max="63" width="11.81640625" bestFit="1" customWidth="1"/>
    <col min="64" max="64" width="32.1796875" bestFit="1" customWidth="1"/>
    <col min="65" max="66" width="11.81640625" bestFit="1" customWidth="1"/>
    <col min="67" max="67" width="12.08984375" bestFit="1" customWidth="1"/>
    <col min="68" max="68" width="15.08984375" bestFit="1" customWidth="1"/>
    <col min="69" max="70" width="11.81640625" bestFit="1" customWidth="1"/>
    <col min="71" max="71" width="12.08984375" bestFit="1" customWidth="1"/>
    <col min="72" max="72" width="19.6328125" bestFit="1" customWidth="1"/>
    <col min="73" max="73" width="11.81640625" bestFit="1" customWidth="1"/>
    <col min="74" max="74" width="12.08984375" bestFit="1" customWidth="1"/>
    <col min="75" max="75" width="15.08984375" bestFit="1" customWidth="1"/>
    <col min="76" max="77" width="11.81640625" bestFit="1" customWidth="1"/>
    <col min="78" max="78" width="22.6328125" bestFit="1" customWidth="1"/>
    <col min="79" max="79" width="13.90625" bestFit="1" customWidth="1"/>
    <col min="80" max="80" width="11.81640625" bestFit="1" customWidth="1"/>
    <col min="81" max="81" width="12.08984375" bestFit="1" customWidth="1"/>
    <col min="82" max="82" width="15.08984375" bestFit="1" customWidth="1"/>
    <col min="83" max="84" width="11.81640625" bestFit="1" customWidth="1"/>
    <col min="85" max="85" width="17" bestFit="1" customWidth="1"/>
    <col min="86" max="86" width="24.453125" bestFit="1" customWidth="1"/>
    <col min="87" max="87" width="10.7265625" bestFit="1" customWidth="1"/>
    <col min="88" max="88" width="12.08984375" bestFit="1" customWidth="1"/>
    <col min="89" max="89" width="15.08984375" bestFit="1" customWidth="1"/>
    <col min="90" max="90" width="8.08984375" customWidth="1"/>
    <col min="91" max="91" width="11" bestFit="1" customWidth="1"/>
    <col min="92" max="92" width="27.453125" bestFit="1" customWidth="1"/>
    <col min="93" max="93" width="26.26953125" bestFit="1" customWidth="1"/>
    <col min="94" max="94" width="11.81640625" bestFit="1" customWidth="1"/>
    <col min="95" max="95" width="12.08984375" bestFit="1" customWidth="1"/>
    <col min="96" max="96" width="15.08984375" bestFit="1" customWidth="1"/>
    <col min="97" max="98" width="11.81640625" bestFit="1" customWidth="1"/>
    <col min="99" max="99" width="29.36328125" bestFit="1" customWidth="1"/>
    <col min="100" max="100" width="21.7265625" bestFit="1" customWidth="1"/>
    <col min="101" max="101" width="11.81640625" bestFit="1" customWidth="1"/>
    <col min="102" max="102" width="12.08984375" bestFit="1" customWidth="1"/>
    <col min="103" max="103" width="15.08984375" bestFit="1" customWidth="1"/>
    <col min="104" max="105" width="11.81640625" bestFit="1" customWidth="1"/>
    <col min="106" max="106" width="24.7265625" bestFit="1" customWidth="1"/>
    <col min="107" max="107" width="14.54296875" bestFit="1" customWidth="1"/>
    <col min="108" max="108" width="11.81640625" bestFit="1" customWidth="1"/>
    <col min="109" max="109" width="12.08984375" bestFit="1" customWidth="1"/>
    <col min="110" max="110" width="15.08984375" bestFit="1" customWidth="1"/>
    <col min="111" max="112" width="11.81640625" bestFit="1" customWidth="1"/>
    <col min="113" max="113" width="17.6328125" bestFit="1" customWidth="1"/>
    <col min="114" max="114" width="11.36328125" bestFit="1" customWidth="1"/>
    <col min="115" max="115" width="10.7265625" bestFit="1" customWidth="1"/>
    <col min="116" max="116" width="12.08984375" bestFit="1" customWidth="1"/>
    <col min="117" max="117" width="15.08984375" bestFit="1" customWidth="1"/>
    <col min="118" max="118" width="8.08984375" customWidth="1"/>
    <col min="119" max="119" width="11" bestFit="1" customWidth="1"/>
    <col min="120" max="120" width="14.36328125" bestFit="1" customWidth="1"/>
    <col min="121" max="121" width="14" bestFit="1" customWidth="1"/>
    <col min="122" max="122" width="11.81640625" bestFit="1" customWidth="1"/>
    <col min="123" max="123" width="12.08984375" bestFit="1" customWidth="1"/>
    <col min="124" max="124" width="15.08984375" bestFit="1" customWidth="1"/>
    <col min="125" max="126" width="11.81640625" bestFit="1" customWidth="1"/>
    <col min="127" max="127" width="17.08984375" bestFit="1" customWidth="1"/>
    <col min="128" max="128" width="14.453125" bestFit="1" customWidth="1"/>
    <col min="129" max="129" width="10.7265625" bestFit="1" customWidth="1"/>
    <col min="130" max="130" width="12.08984375" bestFit="1" customWidth="1"/>
    <col min="131" max="131" width="15.08984375" bestFit="1" customWidth="1"/>
    <col min="132" max="133" width="11.81640625" bestFit="1" customWidth="1"/>
    <col min="134" max="134" width="17.54296875" bestFit="1" customWidth="1"/>
    <col min="135" max="135" width="14.7265625" bestFit="1" customWidth="1"/>
    <col min="136" max="136" width="10.7265625" bestFit="1" customWidth="1"/>
    <col min="137" max="137" width="12.08984375" bestFit="1" customWidth="1"/>
    <col min="138" max="138" width="15.08984375" bestFit="1" customWidth="1"/>
    <col min="139" max="139" width="8.08984375" customWidth="1"/>
    <col min="140" max="140" width="11" bestFit="1" customWidth="1"/>
    <col min="141" max="141" width="17.7265625" bestFit="1" customWidth="1"/>
    <col min="142" max="142" width="11.81640625" bestFit="1" customWidth="1"/>
  </cols>
  <sheetData>
    <row r="3" spans="1:24" x14ac:dyDescent="0.35">
      <c r="A3" s="3" t="s">
        <v>32</v>
      </c>
      <c r="B3" s="3" t="s">
        <v>3</v>
      </c>
    </row>
    <row r="4" spans="1:24" x14ac:dyDescent="0.35">
      <c r="B4" t="s">
        <v>52</v>
      </c>
      <c r="I4" t="s">
        <v>58</v>
      </c>
    </row>
    <row r="5" spans="1:24" x14ac:dyDescent="0.35">
      <c r="B5" t="s">
        <v>24</v>
      </c>
      <c r="I5" t="s">
        <v>24</v>
      </c>
    </row>
    <row r="6" spans="1:24" x14ac:dyDescent="0.35">
      <c r="B6" t="s">
        <v>29</v>
      </c>
      <c r="I6" t="s">
        <v>29</v>
      </c>
    </row>
    <row r="7" spans="1:24" x14ac:dyDescent="0.35">
      <c r="B7" t="s">
        <v>30</v>
      </c>
      <c r="I7" t="s">
        <v>30</v>
      </c>
    </row>
    <row r="8" spans="1:24" x14ac:dyDescent="0.35">
      <c r="A8" s="3" t="s">
        <v>1</v>
      </c>
      <c r="B8">
        <v>2015</v>
      </c>
      <c r="C8">
        <v>2016</v>
      </c>
      <c r="D8">
        <v>2017</v>
      </c>
      <c r="E8">
        <v>2018</v>
      </c>
      <c r="F8">
        <v>2019</v>
      </c>
      <c r="G8">
        <v>2020</v>
      </c>
      <c r="H8">
        <v>2021</v>
      </c>
      <c r="I8">
        <v>2015</v>
      </c>
      <c r="J8">
        <v>2016</v>
      </c>
      <c r="K8">
        <v>2017</v>
      </c>
      <c r="L8">
        <v>2018</v>
      </c>
      <c r="M8">
        <v>2019</v>
      </c>
      <c r="N8">
        <v>2020</v>
      </c>
      <c r="O8">
        <v>2021</v>
      </c>
      <c r="Q8" s="13" t="s">
        <v>59</v>
      </c>
      <c r="R8" t="s">
        <v>60</v>
      </c>
    </row>
    <row r="9" spans="1:24" x14ac:dyDescent="0.35">
      <c r="A9" s="4" t="s">
        <v>43</v>
      </c>
      <c r="B9" s="7">
        <v>85.175352370948104</v>
      </c>
      <c r="C9" s="7">
        <v>96.1614179459539</v>
      </c>
      <c r="D9" s="7">
        <v>83.628262974111394</v>
      </c>
      <c r="E9" s="7">
        <v>93.714204554132607</v>
      </c>
      <c r="F9" s="7">
        <v>84.841699480269796</v>
      </c>
      <c r="G9" s="7">
        <v>88.022694697406195</v>
      </c>
      <c r="H9" s="7">
        <v>75.460038673426297</v>
      </c>
      <c r="I9" s="7">
        <v>85.548933436373403</v>
      </c>
      <c r="J9" s="7">
        <v>104.98044729223901</v>
      </c>
      <c r="K9" s="7">
        <v>85.342854176083307</v>
      </c>
      <c r="L9" s="7">
        <v>94.543189332053501</v>
      </c>
      <c r="M9" s="7">
        <v>84.863295535122504</v>
      </c>
      <c r="N9" s="7">
        <v>89.553952362204996</v>
      </c>
      <c r="O9" s="7">
        <v>77.448847781876495</v>
      </c>
      <c r="Q9" s="12">
        <v>94.5501783417225</v>
      </c>
      <c r="R9" s="7"/>
      <c r="S9" s="7"/>
      <c r="T9" s="11">
        <v>85.342854176083307</v>
      </c>
      <c r="U9" s="11">
        <v>94.543189332053501</v>
      </c>
      <c r="V9" s="11">
        <v>84.863295535122504</v>
      </c>
      <c r="W9" s="11">
        <v>89.553952362204996</v>
      </c>
      <c r="X9">
        <v>77.448847781876495</v>
      </c>
    </row>
    <row r="10" spans="1:24" x14ac:dyDescent="0.35">
      <c r="A10" s="4" t="s">
        <v>62</v>
      </c>
      <c r="B10" s="7">
        <v>184.685185489849</v>
      </c>
      <c r="C10" s="7">
        <v>218.45764285069899</v>
      </c>
      <c r="D10" s="7">
        <v>193.27424532323101</v>
      </c>
      <c r="E10" s="7">
        <v>220.47583712286601</v>
      </c>
      <c r="F10" s="7">
        <v>195.31699761637501</v>
      </c>
      <c r="G10" s="7">
        <v>195.620209708255</v>
      </c>
      <c r="H10" s="7">
        <v>215.12485472608799</v>
      </c>
      <c r="I10" s="7">
        <v>186.42419576188999</v>
      </c>
      <c r="J10" s="7">
        <v>219.16277013697399</v>
      </c>
      <c r="K10" s="7">
        <v>194.60926039629399</v>
      </c>
      <c r="L10" s="7">
        <v>223.07407492446501</v>
      </c>
      <c r="M10" s="7">
        <v>196.36014127335099</v>
      </c>
      <c r="N10" s="7">
        <v>198.07843548337399</v>
      </c>
      <c r="O10" s="7">
        <v>216.30393657190501</v>
      </c>
      <c r="Q10" s="12">
        <v>223.10336077000301</v>
      </c>
      <c r="R10" s="7"/>
      <c r="S10" s="7"/>
      <c r="T10">
        <v>194.60926039629399</v>
      </c>
      <c r="U10">
        <v>223.07407492446501</v>
      </c>
      <c r="V10">
        <v>196.36014127335099</v>
      </c>
      <c r="W10">
        <v>198.07843548337399</v>
      </c>
      <c r="X10">
        <v>216.30393657190501</v>
      </c>
    </row>
    <row r="11" spans="1:24" x14ac:dyDescent="0.35">
      <c r="A11" s="4" t="s">
        <v>44</v>
      </c>
      <c r="B11" s="12">
        <v>16.416460932431001</v>
      </c>
      <c r="C11" s="12">
        <v>19.418457142284399</v>
      </c>
      <c r="D11" s="12">
        <v>17.179932917620501</v>
      </c>
      <c r="E11" s="12">
        <v>19.5978521886992</v>
      </c>
      <c r="F11" s="12">
        <v>17.361510899233298</v>
      </c>
      <c r="G11" s="12">
        <v>17.388463085178198</v>
      </c>
      <c r="H11" s="12">
        <v>19.1222093089856</v>
      </c>
      <c r="I11" s="7">
        <v>16.571039623279098</v>
      </c>
      <c r="J11" s="7">
        <v>19.481135123286599</v>
      </c>
      <c r="K11" s="7">
        <v>17.298600924115</v>
      </c>
      <c r="L11" s="7">
        <v>19.828806659952502</v>
      </c>
      <c r="M11" s="7">
        <v>17.454234779853401</v>
      </c>
      <c r="N11" s="7">
        <v>17.6069720429666</v>
      </c>
      <c r="O11" s="7">
        <v>19.227016584169299</v>
      </c>
      <c r="Q11" s="12">
        <v>19.831409846222499</v>
      </c>
      <c r="R11" s="7"/>
      <c r="T11">
        <v>17.298600924115</v>
      </c>
      <c r="U11">
        <v>19.828806659952502</v>
      </c>
      <c r="V11">
        <v>17.454234779853401</v>
      </c>
      <c r="W11">
        <v>17.6069720429666</v>
      </c>
      <c r="X11">
        <v>19.227016584169299</v>
      </c>
    </row>
    <row r="12" spans="1:24" x14ac:dyDescent="0.35">
      <c r="A12" s="4" t="s">
        <v>46</v>
      </c>
      <c r="B12" s="7">
        <v>114.63251678103499</v>
      </c>
      <c r="C12" s="7">
        <v>205.659810348126</v>
      </c>
      <c r="D12" s="7">
        <v>195.16465100984399</v>
      </c>
      <c r="E12" s="7">
        <v>245.858007765178</v>
      </c>
      <c r="F12" s="7">
        <v>151.58288150016901</v>
      </c>
      <c r="G12" s="7">
        <v>144.54417045528501</v>
      </c>
      <c r="H12" s="7">
        <v>494.029902908824</v>
      </c>
      <c r="I12" s="7">
        <v>114.793616030363</v>
      </c>
      <c r="J12" s="7">
        <v>46.356822244338197</v>
      </c>
      <c r="K12" s="7">
        <v>163.236923202496</v>
      </c>
      <c r="L12" s="7">
        <v>231.056453662244</v>
      </c>
      <c r="M12" s="7">
        <v>156.31958116332399</v>
      </c>
      <c r="N12" s="7">
        <v>123.14769315655001</v>
      </c>
      <c r="O12" s="7">
        <v>464.413398576823</v>
      </c>
      <c r="Q12" s="12">
        <v>230.98083482201801</v>
      </c>
      <c r="R12" s="7"/>
      <c r="T12">
        <v>163.236923202496</v>
      </c>
      <c r="U12">
        <v>231.056453662244</v>
      </c>
      <c r="V12">
        <v>156.31958116332399</v>
      </c>
      <c r="W12">
        <v>123.14769315655001</v>
      </c>
      <c r="X12">
        <v>464.413398576823</v>
      </c>
    </row>
    <row r="13" spans="1:24" x14ac:dyDescent="0.35">
      <c r="A13" s="4" t="s">
        <v>54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2.9356515357022799</v>
      </c>
      <c r="O13" s="7">
        <v>0</v>
      </c>
      <c r="R13" s="7"/>
      <c r="T13">
        <v>0</v>
      </c>
      <c r="U13">
        <v>0</v>
      </c>
      <c r="V13">
        <v>0</v>
      </c>
      <c r="W13">
        <v>2.9356515357022799</v>
      </c>
      <c r="X13">
        <v>0</v>
      </c>
    </row>
    <row r="14" spans="1:24" x14ac:dyDescent="0.35">
      <c r="A14" s="4" t="s">
        <v>55</v>
      </c>
      <c r="B14" s="7">
        <v>887.81644832931499</v>
      </c>
      <c r="C14" s="7">
        <v>1110.20583762563</v>
      </c>
      <c r="D14" s="7">
        <v>958.27230622821298</v>
      </c>
      <c r="E14" s="7">
        <v>1113.7365466259801</v>
      </c>
      <c r="F14" s="7">
        <v>977.78667610196896</v>
      </c>
      <c r="G14" s="7">
        <v>981.01122236987601</v>
      </c>
      <c r="H14" s="7">
        <v>1069.6731890557</v>
      </c>
      <c r="I14" s="7">
        <v>911.612675393514</v>
      </c>
      <c r="J14" s="7">
        <v>1100.7232386042999</v>
      </c>
      <c r="K14" s="7">
        <v>955.59983846333398</v>
      </c>
      <c r="L14" s="7">
        <v>1111.5858662482401</v>
      </c>
      <c r="M14" s="7">
        <v>977.49316410915299</v>
      </c>
      <c r="N14" s="7">
        <v>974.38709462625798</v>
      </c>
      <c r="O14" s="7">
        <v>1067.8086867622601</v>
      </c>
      <c r="Q14" s="12">
        <v>1111.4910014817699</v>
      </c>
      <c r="R14" s="7"/>
      <c r="T14">
        <v>955.59983846333398</v>
      </c>
      <c r="U14">
        <v>1111.5858662482401</v>
      </c>
      <c r="V14">
        <v>977.49316410915299</v>
      </c>
      <c r="W14">
        <v>974.38709462625798</v>
      </c>
      <c r="X14">
        <v>1067.8086867622601</v>
      </c>
    </row>
    <row r="15" spans="1:24" x14ac:dyDescent="0.35">
      <c r="A15" s="4" t="s">
        <v>56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Q15" s="12"/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5">
      <c r="A16" s="4" t="s">
        <v>57</v>
      </c>
      <c r="B16" s="7">
        <v>28.853831842444201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Q16" s="12"/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5">
      <c r="A17" s="4" t="s">
        <v>45</v>
      </c>
      <c r="B17" s="7">
        <v>148.04475677727399</v>
      </c>
      <c r="C17" s="7">
        <v>277.037840184532</v>
      </c>
      <c r="D17" s="7">
        <v>113.89749548898099</v>
      </c>
      <c r="E17" s="7">
        <v>171.56889698673999</v>
      </c>
      <c r="F17" s="7">
        <v>72.121986174380297</v>
      </c>
      <c r="G17" s="7">
        <v>237.080612144556</v>
      </c>
      <c r="H17" s="7">
        <v>116.388580528137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Q17" s="12"/>
      <c r="T17">
        <v>0</v>
      </c>
      <c r="U17">
        <v>0</v>
      </c>
      <c r="V17">
        <v>0</v>
      </c>
      <c r="W17">
        <v>0</v>
      </c>
      <c r="X17">
        <v>0</v>
      </c>
    </row>
    <row r="19" spans="1:24" x14ac:dyDescent="0.35">
      <c r="B19">
        <v>16.416460932431001</v>
      </c>
      <c r="C19">
        <v>19.418457142284399</v>
      </c>
      <c r="D19">
        <v>17.179932917620501</v>
      </c>
      <c r="E19">
        <v>19.5978521886992</v>
      </c>
      <c r="F19">
        <v>17.361510899233298</v>
      </c>
      <c r="G19">
        <v>17.388463085178198</v>
      </c>
      <c r="H19">
        <v>19.1222093089856</v>
      </c>
    </row>
    <row r="20" spans="1:24" x14ac:dyDescent="0.35">
      <c r="B20">
        <f>B19*51.5</f>
        <v>845.44773802019654</v>
      </c>
      <c r="C20">
        <f t="shared" ref="C20:H20" si="0">C19*51.5</f>
        <v>1000.0505428276466</v>
      </c>
      <c r="D20">
        <f t="shared" si="0"/>
        <v>884.76654525745585</v>
      </c>
      <c r="E20">
        <f t="shared" si="0"/>
        <v>1009.2893877180088</v>
      </c>
      <c r="F20">
        <f t="shared" si="0"/>
        <v>894.11781131051487</v>
      </c>
      <c r="G20">
        <f t="shared" si="0"/>
        <v>895.5058488866772</v>
      </c>
      <c r="H20">
        <f t="shared" si="0"/>
        <v>984.79377941275834</v>
      </c>
      <c r="Q20" s="12"/>
    </row>
    <row r="21" spans="1:24" x14ac:dyDescent="0.35">
      <c r="Q21" s="12"/>
    </row>
    <row r="22" spans="1:24" x14ac:dyDescent="0.35">
      <c r="Q22" s="12"/>
    </row>
    <row r="23" spans="1:24" x14ac:dyDescent="0.35">
      <c r="Q23" s="12"/>
    </row>
    <row r="24" spans="1:24" x14ac:dyDescent="0.35">
      <c r="H24">
        <f>16*51</f>
        <v>816</v>
      </c>
      <c r="Q24" s="12"/>
    </row>
    <row r="40" spans="3:13" x14ac:dyDescent="0.35">
      <c r="C40" s="8" t="s">
        <v>36</v>
      </c>
      <c r="D40" s="8" t="s">
        <v>24</v>
      </c>
      <c r="E40" s="8" t="s">
        <v>36</v>
      </c>
      <c r="F40" s="8" t="s">
        <v>24</v>
      </c>
      <c r="G40" s="8" t="s">
        <v>36</v>
      </c>
      <c r="H40" s="8" t="s">
        <v>24</v>
      </c>
      <c r="I40" s="8" t="s">
        <v>36</v>
      </c>
      <c r="J40" s="8" t="s">
        <v>24</v>
      </c>
      <c r="K40" s="8" t="s">
        <v>36</v>
      </c>
      <c r="L40" s="8" t="s">
        <v>24</v>
      </c>
      <c r="M40" s="8" t="s">
        <v>36</v>
      </c>
    </row>
    <row r="41" spans="3:13" x14ac:dyDescent="0.35">
      <c r="C41" s="9">
        <v>0</v>
      </c>
      <c r="D41" s="9">
        <v>0</v>
      </c>
      <c r="E41" s="9">
        <v>0</v>
      </c>
      <c r="F41" s="9">
        <v>0</v>
      </c>
      <c r="G41" s="9">
        <v>0</v>
      </c>
      <c r="H41" s="9">
        <v>578.35661716765799</v>
      </c>
      <c r="I41" s="9">
        <v>437.15806291626598</v>
      </c>
      <c r="J41" s="9">
        <v>557.51785635784302</v>
      </c>
      <c r="K41" s="9">
        <v>436.632280445839</v>
      </c>
      <c r="L41" s="9">
        <v>733.022234306614</v>
      </c>
      <c r="M41" s="9">
        <v>454.02040166026302</v>
      </c>
    </row>
    <row r="42" spans="3:13" x14ac:dyDescent="0.35">
      <c r="C42" s="9">
        <v>1828.7830954984399</v>
      </c>
      <c r="D42" s="9">
        <v>972.27227166067496</v>
      </c>
      <c r="E42" s="9">
        <v>845.32684668181196</v>
      </c>
      <c r="F42" s="9">
        <v>1472.01291645581</v>
      </c>
      <c r="G42" s="9">
        <v>898.20229703094401</v>
      </c>
      <c r="H42" s="9">
        <v>782.62059156652003</v>
      </c>
      <c r="I42" s="9">
        <v>593.15883706413297</v>
      </c>
      <c r="J42" s="9">
        <v>0</v>
      </c>
      <c r="K42" s="9">
        <v>0</v>
      </c>
      <c r="L42" s="9">
        <v>1054.2849315803401</v>
      </c>
      <c r="M42" s="9">
        <v>657.71194632858806</v>
      </c>
    </row>
    <row r="43" spans="3:13" x14ac:dyDescent="0.35">
      <c r="C43" s="9">
        <v>0</v>
      </c>
      <c r="D43" s="9">
        <v>553.47405424466206</v>
      </c>
      <c r="E43" s="9">
        <v>380.03305333078401</v>
      </c>
      <c r="F43" s="9">
        <v>685.09121004061103</v>
      </c>
      <c r="G43" s="9">
        <v>380.66874968358701</v>
      </c>
      <c r="H43" s="9">
        <v>0</v>
      </c>
      <c r="I43" s="9">
        <v>0</v>
      </c>
      <c r="J43" s="9">
        <v>0</v>
      </c>
      <c r="K43" s="9">
        <v>0</v>
      </c>
      <c r="L43" s="9">
        <v>12.981929973638399</v>
      </c>
      <c r="M43" s="9">
        <v>46.355815679153999</v>
      </c>
    </row>
    <row r="44" spans="3:13" x14ac:dyDescent="0.35">
      <c r="C44" s="9">
        <v>0</v>
      </c>
      <c r="D44" s="9">
        <v>498.06894792229002</v>
      </c>
      <c r="E44" s="9">
        <v>568.899836413044</v>
      </c>
      <c r="F44" s="9">
        <v>0</v>
      </c>
      <c r="G44" s="9">
        <v>418.864388672968</v>
      </c>
      <c r="H44" s="9">
        <v>0</v>
      </c>
      <c r="I44" s="9">
        <v>0</v>
      </c>
      <c r="J44" s="9">
        <v>0</v>
      </c>
      <c r="K44" s="9">
        <v>0</v>
      </c>
      <c r="L44" s="9">
        <v>0</v>
      </c>
      <c r="M44" s="9">
        <v>0</v>
      </c>
    </row>
    <row r="45" spans="3:13" x14ac:dyDescent="0.35">
      <c r="C45" s="9"/>
      <c r="D45" s="9">
        <v>17.367919423350902</v>
      </c>
      <c r="E45" s="9"/>
      <c r="F45" s="9">
        <v>20.171472021862701</v>
      </c>
      <c r="G45" s="9"/>
      <c r="H45" s="9">
        <v>10.797147796394601</v>
      </c>
      <c r="I45" s="9"/>
      <c r="J45" s="9">
        <v>10.407222435651001</v>
      </c>
      <c r="K45" s="9"/>
      <c r="L45" s="9">
        <v>13.765541647460701</v>
      </c>
      <c r="M45" s="9"/>
    </row>
    <row r="46" spans="3:13" x14ac:dyDescent="0.35">
      <c r="C46" s="9">
        <v>24.830506387468098</v>
      </c>
      <c r="D46" s="9"/>
      <c r="E46" s="9">
        <v>14.4835040968232</v>
      </c>
      <c r="F46" s="9"/>
      <c r="G46" s="9">
        <v>14.829546186985301</v>
      </c>
      <c r="H46" s="9"/>
      <c r="I46" s="9">
        <v>10.3222032082582</v>
      </c>
      <c r="J46" s="9"/>
      <c r="K46" s="9">
        <v>10.3097884000607</v>
      </c>
      <c r="L46" s="9"/>
      <c r="M46" s="9">
        <v>10.7595623112631</v>
      </c>
    </row>
    <row r="47" spans="3:13" x14ac:dyDescent="0.35">
      <c r="C47" s="9"/>
      <c r="D47" s="9">
        <v>73.234734041193207</v>
      </c>
      <c r="E47" s="9"/>
      <c r="F47" s="9">
        <v>68.308249260374595</v>
      </c>
      <c r="G47" s="9"/>
      <c r="H47" s="9">
        <v>56.903480131882198</v>
      </c>
      <c r="I47" s="9"/>
      <c r="J47" s="9">
        <v>55.064668971698602</v>
      </c>
      <c r="K47" s="9"/>
      <c r="L47" s="9">
        <v>61.145823291751597</v>
      </c>
      <c r="M47" s="9"/>
    </row>
    <row r="48" spans="3:13" x14ac:dyDescent="0.35">
      <c r="C48" s="9">
        <v>63.201940581386403</v>
      </c>
      <c r="D48" s="9"/>
      <c r="E48" s="9">
        <v>67.933280294316504</v>
      </c>
      <c r="F48" s="9"/>
      <c r="G48" s="9">
        <v>66.137770212055898</v>
      </c>
      <c r="H48" s="9"/>
      <c r="I48" s="9">
        <v>54.614831789726502</v>
      </c>
      <c r="J48" s="9"/>
      <c r="K48" s="9">
        <v>54.549144973866802</v>
      </c>
      <c r="L48" s="9"/>
      <c r="M48" s="9">
        <v>56.350726249780102</v>
      </c>
    </row>
    <row r="49" spans="3:13" x14ac:dyDescent="0.35">
      <c r="C49" s="9">
        <v>147.68774183737801</v>
      </c>
      <c r="D49" s="9">
        <v>283.67179583528099</v>
      </c>
      <c r="E49" s="9">
        <v>186.87102655433301</v>
      </c>
      <c r="F49" s="9">
        <v>138.374356635526</v>
      </c>
      <c r="G49" s="9">
        <v>129.03899984795299</v>
      </c>
      <c r="H49" s="9">
        <v>7.1537371003361798</v>
      </c>
      <c r="I49" s="9">
        <v>4.9105146100615201E-12</v>
      </c>
      <c r="J49" s="9">
        <v>0</v>
      </c>
      <c r="K49" s="9">
        <v>0</v>
      </c>
      <c r="L49" s="9">
        <v>47.6493933393511</v>
      </c>
      <c r="M49" s="9">
        <v>28.0886696998903</v>
      </c>
    </row>
    <row r="50" spans="3:13" x14ac:dyDescent="0.35">
      <c r="C50" s="9">
        <v>756.84859791126098</v>
      </c>
      <c r="D50" s="9">
        <v>104.985369179705</v>
      </c>
      <c r="E50" s="9">
        <v>364.13097582564501</v>
      </c>
      <c r="F50" s="9">
        <v>100.931825617187</v>
      </c>
      <c r="G50" s="9">
        <v>218.97991775123</v>
      </c>
      <c r="H50" s="9">
        <v>0</v>
      </c>
      <c r="I50" s="9">
        <v>0</v>
      </c>
      <c r="J50" s="9">
        <v>0</v>
      </c>
      <c r="K50" s="9">
        <v>0</v>
      </c>
      <c r="L50" s="9">
        <v>0.38577356642378602</v>
      </c>
      <c r="M50" s="9">
        <v>7.6932199746923597</v>
      </c>
    </row>
    <row r="51" spans="3:13" x14ac:dyDescent="0.35"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</row>
    <row r="52" spans="3:13" x14ac:dyDescent="0.35"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</row>
    <row r="53" spans="3:13" x14ac:dyDescent="0.35"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5"/>
  <sheetViews>
    <sheetView workbookViewId="0">
      <selection activeCell="F17" sqref="F17"/>
    </sheetView>
  </sheetViews>
  <sheetFormatPr defaultRowHeight="14.5" x14ac:dyDescent="0.35"/>
  <cols>
    <col min="1" max="1" width="32.54296875" customWidth="1"/>
    <col min="2" max="2" width="15.26953125" customWidth="1"/>
    <col min="3" max="3" width="18" bestFit="1" customWidth="1"/>
    <col min="4" max="4" width="6.1796875" customWidth="1"/>
    <col min="5" max="5" width="12.26953125" bestFit="1" customWidth="1"/>
    <col min="6" max="6" width="7" customWidth="1"/>
    <col min="7" max="7" width="12.26953125" bestFit="1" customWidth="1"/>
    <col min="8" max="8" width="19.81640625" bestFit="1" customWidth="1"/>
    <col min="9" max="9" width="3.81640625" bestFit="1" customWidth="1"/>
    <col min="10" max="10" width="6.1796875" customWidth="1"/>
    <col min="11" max="11" width="12.26953125" customWidth="1"/>
    <col min="12" max="12" width="7" customWidth="1"/>
    <col min="13" max="13" width="12.26953125" customWidth="1"/>
    <col min="14" max="14" width="11.81640625" bestFit="1" customWidth="1"/>
    <col min="15" max="16" width="11.81640625" customWidth="1"/>
    <col min="17" max="17" width="12.26953125" customWidth="1"/>
    <col min="18" max="18" width="11.81640625" customWidth="1"/>
    <col min="19" max="19" width="12.26953125" customWidth="1"/>
    <col min="20" max="20" width="19.81640625" customWidth="1"/>
    <col min="21" max="22" width="11.81640625" customWidth="1"/>
    <col min="23" max="23" width="12.26953125" customWidth="1"/>
    <col min="24" max="24" width="11.81640625" customWidth="1"/>
    <col min="25" max="25" width="12.26953125" customWidth="1"/>
    <col min="26" max="26" width="10.81640625" customWidth="1"/>
    <col min="27" max="28" width="11.81640625" customWidth="1"/>
    <col min="29" max="29" width="21.08984375" customWidth="1"/>
    <col min="30" max="30" width="18.90625" customWidth="1"/>
    <col min="31" max="31" width="11.81640625" customWidth="1"/>
    <col min="32" max="32" width="12.08984375" customWidth="1"/>
    <col min="33" max="33" width="15.08984375" customWidth="1"/>
    <col min="34" max="35" width="11.81640625" customWidth="1"/>
    <col min="36" max="36" width="21.90625" bestFit="1" customWidth="1"/>
    <col min="37" max="37" width="22.36328125" bestFit="1" customWidth="1"/>
    <col min="38" max="38" width="10.7265625" customWidth="1"/>
    <col min="39" max="39" width="12.08984375" customWidth="1"/>
    <col min="40" max="40" width="15.08984375" bestFit="1" customWidth="1"/>
    <col min="41" max="41" width="8.08984375" customWidth="1"/>
    <col min="42" max="42" width="11" customWidth="1"/>
    <col min="43" max="43" width="25.453125" bestFit="1" customWidth="1"/>
    <col min="44" max="44" width="20.08984375" bestFit="1" customWidth="1"/>
    <col min="45" max="45" width="11.81640625" bestFit="1" customWidth="1"/>
    <col min="46" max="46" width="12.08984375" bestFit="1" customWidth="1"/>
    <col min="47" max="47" width="15.08984375" bestFit="1" customWidth="1"/>
    <col min="48" max="49" width="11.81640625" bestFit="1" customWidth="1"/>
    <col min="50" max="50" width="23.08984375" bestFit="1" customWidth="1"/>
    <col min="51" max="51" width="16.1796875" bestFit="1" customWidth="1"/>
    <col min="52" max="52" width="10.81640625" bestFit="1" customWidth="1"/>
    <col min="53" max="53" width="12.08984375" bestFit="1" customWidth="1"/>
    <col min="54" max="54" width="15.08984375" bestFit="1" customWidth="1"/>
    <col min="55" max="56" width="11.81640625" bestFit="1" customWidth="1"/>
    <col min="57" max="57" width="19.1796875" bestFit="1" customWidth="1"/>
    <col min="58" max="58" width="29.1796875" bestFit="1" customWidth="1"/>
    <col min="59" max="59" width="11.81640625" bestFit="1" customWidth="1"/>
    <col min="60" max="60" width="12.08984375" bestFit="1" customWidth="1"/>
    <col min="61" max="61" width="15.08984375" bestFit="1" customWidth="1"/>
    <col min="62" max="63" width="11.81640625" bestFit="1" customWidth="1"/>
    <col min="64" max="64" width="32.1796875" bestFit="1" customWidth="1"/>
    <col min="65" max="66" width="11.81640625" bestFit="1" customWidth="1"/>
    <col min="67" max="67" width="12.08984375" bestFit="1" customWidth="1"/>
    <col min="68" max="68" width="15.08984375" bestFit="1" customWidth="1"/>
    <col min="69" max="70" width="11.81640625" bestFit="1" customWidth="1"/>
    <col min="71" max="71" width="12.08984375" bestFit="1" customWidth="1"/>
    <col min="72" max="72" width="19.6328125" bestFit="1" customWidth="1"/>
    <col min="73" max="73" width="11.81640625" bestFit="1" customWidth="1"/>
    <col min="74" max="74" width="12.08984375" bestFit="1" customWidth="1"/>
    <col min="75" max="75" width="15.08984375" bestFit="1" customWidth="1"/>
    <col min="76" max="77" width="11.81640625" bestFit="1" customWidth="1"/>
    <col min="78" max="78" width="22.6328125" bestFit="1" customWidth="1"/>
    <col min="79" max="79" width="13.90625" bestFit="1" customWidth="1"/>
    <col min="80" max="80" width="11.81640625" bestFit="1" customWidth="1"/>
    <col min="81" max="81" width="12.08984375" bestFit="1" customWidth="1"/>
    <col min="82" max="82" width="15.08984375" bestFit="1" customWidth="1"/>
    <col min="83" max="84" width="11.81640625" bestFit="1" customWidth="1"/>
    <col min="85" max="85" width="17" bestFit="1" customWidth="1"/>
    <col min="86" max="86" width="24.453125" bestFit="1" customWidth="1"/>
    <col min="87" max="87" width="10.7265625" bestFit="1" customWidth="1"/>
    <col min="88" max="88" width="12.08984375" bestFit="1" customWidth="1"/>
    <col min="89" max="89" width="15.08984375" bestFit="1" customWidth="1"/>
    <col min="90" max="90" width="8.08984375" customWidth="1"/>
    <col min="91" max="91" width="11" bestFit="1" customWidth="1"/>
    <col min="92" max="92" width="27.453125" bestFit="1" customWidth="1"/>
    <col min="93" max="93" width="26.26953125" bestFit="1" customWidth="1"/>
    <col min="94" max="94" width="11.81640625" bestFit="1" customWidth="1"/>
    <col min="95" max="95" width="12.08984375" bestFit="1" customWidth="1"/>
    <col min="96" max="96" width="15.08984375" bestFit="1" customWidth="1"/>
    <col min="97" max="98" width="11.81640625" bestFit="1" customWidth="1"/>
    <col min="99" max="99" width="29.36328125" bestFit="1" customWidth="1"/>
    <col min="100" max="100" width="21.7265625" bestFit="1" customWidth="1"/>
    <col min="101" max="101" width="11.81640625" bestFit="1" customWidth="1"/>
    <col min="102" max="102" width="12.08984375" bestFit="1" customWidth="1"/>
    <col min="103" max="103" width="15.08984375" bestFit="1" customWidth="1"/>
    <col min="104" max="105" width="11.81640625" bestFit="1" customWidth="1"/>
    <col min="106" max="106" width="24.7265625" bestFit="1" customWidth="1"/>
    <col min="107" max="107" width="14.54296875" bestFit="1" customWidth="1"/>
    <col min="108" max="108" width="11.81640625" bestFit="1" customWidth="1"/>
    <col min="109" max="109" width="12.08984375" bestFit="1" customWidth="1"/>
    <col min="110" max="110" width="15.08984375" bestFit="1" customWidth="1"/>
    <col min="111" max="112" width="11.81640625" bestFit="1" customWidth="1"/>
    <col min="113" max="113" width="17.6328125" bestFit="1" customWidth="1"/>
    <col min="114" max="114" width="11.36328125" bestFit="1" customWidth="1"/>
    <col min="115" max="115" width="10.7265625" bestFit="1" customWidth="1"/>
    <col min="116" max="116" width="12.08984375" bestFit="1" customWidth="1"/>
    <col min="117" max="117" width="15.08984375" bestFit="1" customWidth="1"/>
    <col min="118" max="118" width="8.08984375" customWidth="1"/>
    <col min="119" max="119" width="11" bestFit="1" customWidth="1"/>
    <col min="120" max="120" width="14.36328125" bestFit="1" customWidth="1"/>
    <col min="121" max="121" width="14" bestFit="1" customWidth="1"/>
    <col min="122" max="122" width="11.81640625" bestFit="1" customWidth="1"/>
    <col min="123" max="123" width="12.08984375" bestFit="1" customWidth="1"/>
    <col min="124" max="124" width="15.08984375" bestFit="1" customWidth="1"/>
    <col min="125" max="126" width="11.81640625" bestFit="1" customWidth="1"/>
    <col min="127" max="127" width="17.08984375" bestFit="1" customWidth="1"/>
    <col min="128" max="128" width="14.453125" bestFit="1" customWidth="1"/>
    <col min="129" max="129" width="10.7265625" bestFit="1" customWidth="1"/>
    <col min="130" max="130" width="12.08984375" bestFit="1" customWidth="1"/>
    <col min="131" max="131" width="15.08984375" bestFit="1" customWidth="1"/>
    <col min="132" max="133" width="11.81640625" bestFit="1" customWidth="1"/>
    <col min="134" max="134" width="17.54296875" bestFit="1" customWidth="1"/>
    <col min="135" max="135" width="14.7265625" bestFit="1" customWidth="1"/>
    <col min="136" max="136" width="10.7265625" bestFit="1" customWidth="1"/>
    <col min="137" max="137" width="12.08984375" bestFit="1" customWidth="1"/>
    <col min="138" max="138" width="15.08984375" bestFit="1" customWidth="1"/>
    <col min="139" max="139" width="8.08984375" customWidth="1"/>
    <col min="140" max="140" width="11" bestFit="1" customWidth="1"/>
    <col min="141" max="141" width="17.7265625" bestFit="1" customWidth="1"/>
    <col min="142" max="142" width="11.81640625" bestFit="1" customWidth="1"/>
  </cols>
  <sheetData>
    <row r="3" spans="1:3" x14ac:dyDescent="0.35">
      <c r="A3" s="3" t="s">
        <v>26</v>
      </c>
      <c r="B3" s="3" t="s">
        <v>3</v>
      </c>
    </row>
    <row r="4" spans="1:3" x14ac:dyDescent="0.35">
      <c r="B4" t="s">
        <v>52</v>
      </c>
      <c r="C4" t="s">
        <v>58</v>
      </c>
    </row>
    <row r="5" spans="1:3" x14ac:dyDescent="0.35">
      <c r="B5" t="s">
        <v>24</v>
      </c>
      <c r="C5" t="s">
        <v>24</v>
      </c>
    </row>
    <row r="6" spans="1:3" x14ac:dyDescent="0.35">
      <c r="B6" t="s">
        <v>29</v>
      </c>
      <c r="C6" t="s">
        <v>29</v>
      </c>
    </row>
    <row r="7" spans="1:3" x14ac:dyDescent="0.35">
      <c r="A7" s="3" t="s">
        <v>1</v>
      </c>
      <c r="B7" t="s">
        <v>30</v>
      </c>
      <c r="C7" t="s">
        <v>30</v>
      </c>
    </row>
    <row r="8" spans="1:3" x14ac:dyDescent="0.35">
      <c r="A8" s="4" t="s">
        <v>61</v>
      </c>
      <c r="B8" s="7"/>
      <c r="C8" s="7"/>
    </row>
    <row r="9" spans="1:3" x14ac:dyDescent="0.35">
      <c r="A9" s="6">
        <v>2015</v>
      </c>
      <c r="B9" s="5">
        <v>425.80645161289902</v>
      </c>
      <c r="C9" s="5">
        <v>425.80645161291199</v>
      </c>
    </row>
    <row r="10" spans="1:3" x14ac:dyDescent="0.35">
      <c r="A10" s="6">
        <v>2016</v>
      </c>
      <c r="B10" s="5">
        <v>425.80645161289601</v>
      </c>
      <c r="C10" s="5">
        <v>425.80645161290499</v>
      </c>
    </row>
    <row r="11" spans="1:3" x14ac:dyDescent="0.35">
      <c r="A11" s="6">
        <v>2017</v>
      </c>
      <c r="B11" s="5">
        <v>425.80645161289601</v>
      </c>
      <c r="C11" s="5">
        <v>425.80645161291397</v>
      </c>
    </row>
    <row r="12" spans="1:3" x14ac:dyDescent="0.35">
      <c r="A12" s="6">
        <v>2018</v>
      </c>
      <c r="B12" s="5">
        <v>425.80645161289402</v>
      </c>
      <c r="C12" s="5">
        <v>425.80645161289402</v>
      </c>
    </row>
    <row r="13" spans="1:3" x14ac:dyDescent="0.35">
      <c r="A13" s="6">
        <v>2019</v>
      </c>
      <c r="B13" s="5">
        <v>425.80645161289902</v>
      </c>
      <c r="C13" s="5">
        <v>425.80645161290403</v>
      </c>
    </row>
    <row r="14" spans="1:3" x14ac:dyDescent="0.35">
      <c r="A14" s="6">
        <v>2020</v>
      </c>
      <c r="B14" s="5">
        <v>425.80645161290403</v>
      </c>
      <c r="C14" s="5">
        <v>425.80645161290698</v>
      </c>
    </row>
    <row r="15" spans="1:3" x14ac:dyDescent="0.35">
      <c r="A15" s="6">
        <v>2021</v>
      </c>
      <c r="B15" s="5">
        <v>425.806451612898</v>
      </c>
      <c r="C15" s="5">
        <v>425.80645161291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F22"/>
  <sheetViews>
    <sheetView tabSelected="1" topLeftCell="A7" zoomScale="115" zoomScaleNormal="115" workbookViewId="0">
      <selection activeCell="G19" sqref="G19"/>
    </sheetView>
  </sheetViews>
  <sheetFormatPr defaultRowHeight="14.5" x14ac:dyDescent="0.35"/>
  <cols>
    <col min="1" max="1" width="27.26953125" bestFit="1" customWidth="1"/>
    <col min="2" max="2" width="22.1796875" customWidth="1"/>
    <col min="3" max="3" width="14.36328125" customWidth="1"/>
    <col min="4" max="4" width="18.81640625" customWidth="1"/>
    <col min="5" max="5" width="12.1796875" customWidth="1"/>
    <col min="6" max="6" width="12.1796875" bestFit="1" customWidth="1"/>
    <col min="7" max="7" width="22.26953125" customWidth="1"/>
    <col min="8" max="9" width="12" customWidth="1"/>
    <col min="10" max="10" width="22.1796875" customWidth="1"/>
    <col min="11" max="13" width="11.81640625" customWidth="1"/>
    <col min="14" max="14" width="12.7265625" customWidth="1"/>
    <col min="15" max="15" width="19.90625" customWidth="1"/>
    <col min="16" max="16" width="15.453125" customWidth="1"/>
    <col min="17" max="17" width="22.453125" customWidth="1"/>
    <col min="18" max="18" width="15.26953125" customWidth="1"/>
    <col min="19" max="19" width="25" customWidth="1"/>
    <col min="20" max="20" width="26.1796875" customWidth="1"/>
    <col min="21" max="21" width="7.7265625" customWidth="1"/>
    <col min="22" max="22" width="22.1796875" customWidth="1"/>
    <col min="23" max="23" width="14.7265625" customWidth="1"/>
    <col min="24" max="24" width="27.36328125" customWidth="1"/>
    <col min="25" max="25" width="26.08984375" customWidth="1"/>
    <col min="26" max="26" width="11.81640625" customWidth="1"/>
    <col min="27" max="27" width="16.1796875" customWidth="1"/>
    <col min="28" max="29" width="11.81640625" customWidth="1"/>
    <col min="30" max="30" width="26" bestFit="1" customWidth="1"/>
    <col min="31" max="31" width="27.26953125" customWidth="1"/>
    <col min="32" max="32" width="26" bestFit="1" customWidth="1"/>
    <col min="33" max="33" width="27.26953125" customWidth="1"/>
    <col min="34" max="34" width="30.81640625" customWidth="1"/>
    <col min="35" max="35" width="32.08984375" customWidth="1"/>
    <col min="36" max="36" width="12.1796875" bestFit="1" customWidth="1"/>
    <col min="37" max="37" width="11.81640625" customWidth="1"/>
    <col min="38" max="38" width="12.453125" bestFit="1" customWidth="1"/>
  </cols>
  <sheetData>
    <row r="4" spans="1:6" x14ac:dyDescent="0.35">
      <c r="A4" s="3" t="s">
        <v>48</v>
      </c>
      <c r="B4" s="3" t="s">
        <v>3</v>
      </c>
    </row>
    <row r="5" spans="1:6" x14ac:dyDescent="0.35">
      <c r="A5" s="3" t="s">
        <v>1</v>
      </c>
      <c r="B5" t="s">
        <v>37</v>
      </c>
      <c r="C5" t="s">
        <v>25</v>
      </c>
      <c r="D5" t="s">
        <v>47</v>
      </c>
      <c r="E5" t="s">
        <v>4</v>
      </c>
      <c r="F5" t="s">
        <v>2</v>
      </c>
    </row>
    <row r="6" spans="1:6" x14ac:dyDescent="0.35">
      <c r="A6" s="4" t="s">
        <v>52</v>
      </c>
      <c r="B6" s="12">
        <v>1.551471940768461</v>
      </c>
      <c r="C6" s="12">
        <v>5.982735130240658E-2</v>
      </c>
      <c r="D6" s="12">
        <v>0</v>
      </c>
      <c r="E6" s="12">
        <v>1.9693096250266412E-2</v>
      </c>
      <c r="F6" s="5">
        <v>1.6309923883211339</v>
      </c>
    </row>
    <row r="7" spans="1:6" x14ac:dyDescent="0.35">
      <c r="A7" s="6">
        <v>2015</v>
      </c>
      <c r="B7" s="5">
        <v>0.114632516781035</v>
      </c>
      <c r="C7" s="5">
        <v>7.7649860210398996E-3</v>
      </c>
      <c r="D7" s="5">
        <v>0</v>
      </c>
      <c r="E7" s="5">
        <v>2.5661091174727499E-3</v>
      </c>
      <c r="F7" s="5">
        <v>0.12496361191954765</v>
      </c>
    </row>
    <row r="8" spans="1:6" x14ac:dyDescent="0.35">
      <c r="A8" s="6">
        <v>2016</v>
      </c>
      <c r="B8" s="5">
        <v>0.205659810348126</v>
      </c>
      <c r="C8" s="5">
        <v>9.1849302283005304E-3</v>
      </c>
      <c r="D8" s="5">
        <v>0</v>
      </c>
      <c r="E8" s="5">
        <v>4.8019892298652202E-3</v>
      </c>
      <c r="F8" s="5">
        <v>0.21964672980629174</v>
      </c>
    </row>
    <row r="9" spans="1:6" x14ac:dyDescent="0.35">
      <c r="A9" s="6">
        <v>2017</v>
      </c>
      <c r="B9" s="5">
        <v>0.19516465100984401</v>
      </c>
      <c r="C9" s="5">
        <v>8.1261082700345103E-3</v>
      </c>
      <c r="D9" s="5">
        <v>0</v>
      </c>
      <c r="E9" s="5">
        <v>1.9742232551423402E-3</v>
      </c>
      <c r="F9" s="5">
        <v>0.20526498253502087</v>
      </c>
    </row>
    <row r="10" spans="1:6" x14ac:dyDescent="0.35">
      <c r="A10" s="6">
        <v>2018</v>
      </c>
      <c r="B10" s="5">
        <v>0.24585800776517799</v>
      </c>
      <c r="C10" s="5">
        <v>9.26978408525473E-3</v>
      </c>
      <c r="D10" s="5">
        <v>0</v>
      </c>
      <c r="E10" s="5">
        <v>2.9738608811034901E-3</v>
      </c>
      <c r="F10" s="5">
        <v>0.25810165273153618</v>
      </c>
    </row>
    <row r="11" spans="1:6" x14ac:dyDescent="0.35">
      <c r="A11" s="6">
        <v>2019</v>
      </c>
      <c r="B11" s="5">
        <v>0.15158288150016899</v>
      </c>
      <c r="C11" s="5">
        <v>8.2119946553373905E-3</v>
      </c>
      <c r="D11" s="5">
        <v>0</v>
      </c>
      <c r="E11" s="5">
        <v>1.2501144270225899E-3</v>
      </c>
      <c r="F11" s="5">
        <v>0.16104499058252897</v>
      </c>
    </row>
    <row r="12" spans="1:6" x14ac:dyDescent="0.35">
      <c r="A12" s="6">
        <v>2020</v>
      </c>
      <c r="B12" s="5">
        <v>0.144544170455285</v>
      </c>
      <c r="C12" s="5">
        <v>8.2247430392893197E-3</v>
      </c>
      <c r="D12" s="5">
        <v>0</v>
      </c>
      <c r="E12" s="5">
        <v>4.1093972771723102E-3</v>
      </c>
      <c r="F12" s="5">
        <v>0.15687831077174663</v>
      </c>
    </row>
    <row r="13" spans="1:6" x14ac:dyDescent="0.35">
      <c r="A13" s="6">
        <v>2021</v>
      </c>
      <c r="B13" s="5">
        <v>0.49402990290882398</v>
      </c>
      <c r="C13" s="5">
        <v>9.0448050031502001E-3</v>
      </c>
      <c r="D13" s="5">
        <v>0</v>
      </c>
      <c r="E13" s="5">
        <v>2.0174020624877101E-3</v>
      </c>
      <c r="F13" s="5">
        <v>0.50509210997446186</v>
      </c>
    </row>
    <row r="14" spans="1:6" x14ac:dyDescent="0.35">
      <c r="A14" s="4" t="s">
        <v>58</v>
      </c>
      <c r="B14" s="12">
        <v>1.2993244880361383</v>
      </c>
      <c r="C14" s="12">
        <v>6.0292272113895602E-2</v>
      </c>
      <c r="D14" s="12">
        <v>0</v>
      </c>
      <c r="E14" s="12">
        <v>0</v>
      </c>
      <c r="F14" s="5">
        <v>1.359616760150034</v>
      </c>
    </row>
    <row r="15" spans="1:6" x14ac:dyDescent="0.35">
      <c r="A15" s="6">
        <v>2015</v>
      </c>
      <c r="B15" s="5">
        <v>0.114793616030363</v>
      </c>
      <c r="C15" s="5">
        <v>7.8381017418110398E-3</v>
      </c>
      <c r="D15" s="5">
        <v>0</v>
      </c>
      <c r="E15" s="5">
        <v>0</v>
      </c>
      <c r="F15" s="5">
        <v>0.12263171777217405</v>
      </c>
    </row>
    <row r="16" spans="1:6" x14ac:dyDescent="0.35">
      <c r="A16" s="6">
        <v>2016</v>
      </c>
      <c r="B16" s="5">
        <v>4.6356822244338201E-2</v>
      </c>
      <c r="C16" s="5">
        <v>9.2145769133145598E-3</v>
      </c>
      <c r="D16" s="5">
        <v>0</v>
      </c>
      <c r="E16" s="5">
        <v>0</v>
      </c>
      <c r="F16" s="5">
        <v>5.5571399157652759E-2</v>
      </c>
    </row>
    <row r="17" spans="1:6" x14ac:dyDescent="0.35">
      <c r="A17" s="6">
        <v>2017</v>
      </c>
      <c r="B17" s="5">
        <v>0.163236923202496</v>
      </c>
      <c r="C17" s="5">
        <v>8.1822382371064296E-3</v>
      </c>
      <c r="D17" s="5">
        <v>0</v>
      </c>
      <c r="E17" s="5">
        <v>0</v>
      </c>
      <c r="F17" s="5">
        <v>0.17141916143960242</v>
      </c>
    </row>
    <row r="18" spans="1:6" x14ac:dyDescent="0.35">
      <c r="A18" s="6">
        <v>2018</v>
      </c>
      <c r="B18" s="5">
        <v>0.231056453662244</v>
      </c>
      <c r="C18" s="5">
        <v>9.3790255501575402E-3</v>
      </c>
      <c r="D18" s="5">
        <v>0</v>
      </c>
      <c r="E18" s="5">
        <v>0</v>
      </c>
      <c r="F18" s="5">
        <v>0.24043547921240155</v>
      </c>
    </row>
    <row r="19" spans="1:6" x14ac:dyDescent="0.35">
      <c r="A19" s="6">
        <v>2019</v>
      </c>
      <c r="B19" s="5">
        <v>0.15631958116332401</v>
      </c>
      <c r="C19" s="5">
        <v>8.2558530508706901E-3</v>
      </c>
      <c r="D19" s="5">
        <v>0</v>
      </c>
      <c r="E19" s="5">
        <v>0</v>
      </c>
      <c r="F19" s="5">
        <v>0.16457543421419468</v>
      </c>
    </row>
    <row r="20" spans="1:6" x14ac:dyDescent="0.35">
      <c r="A20" s="6">
        <v>2020</v>
      </c>
      <c r="B20" s="5">
        <v>0.12314769315655</v>
      </c>
      <c r="C20" s="5">
        <v>8.3280977763232206E-3</v>
      </c>
      <c r="D20" s="5">
        <v>0</v>
      </c>
      <c r="E20" s="5">
        <v>0</v>
      </c>
      <c r="F20" s="5">
        <v>0.1314757909328732</v>
      </c>
    </row>
    <row r="21" spans="1:6" x14ac:dyDescent="0.35">
      <c r="A21" s="6">
        <v>2021</v>
      </c>
      <c r="B21" s="5">
        <v>0.46441339857682301</v>
      </c>
      <c r="C21" s="5">
        <v>9.0943788443121204E-3</v>
      </c>
      <c r="D21" s="5">
        <v>0</v>
      </c>
      <c r="E21" s="5">
        <v>0</v>
      </c>
      <c r="F21" s="5">
        <v>0.47350777742113515</v>
      </c>
    </row>
    <row r="22" spans="1:6" x14ac:dyDescent="0.35">
      <c r="A22" s="4" t="s">
        <v>2</v>
      </c>
      <c r="B22" s="5">
        <v>2.8507964288045993</v>
      </c>
      <c r="C22" s="5">
        <v>0.12011962341630218</v>
      </c>
      <c r="D22" s="5">
        <v>0</v>
      </c>
      <c r="E22" s="5">
        <v>1.9693096250266412E-2</v>
      </c>
      <c r="F22" s="5">
        <v>2.9906091484711679</v>
      </c>
    </row>
  </sheetData>
  <pageMargins left="0.7" right="0.7" top="0.75" bottom="0.75" header="0.3" footer="0.3"/>
  <pageSetup orientation="portrait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Import</vt:lpstr>
      <vt:lpstr>All_Scenarios</vt:lpstr>
      <vt:lpstr>Installed capacities</vt:lpstr>
      <vt:lpstr>Yearly ammonia production</vt:lpstr>
      <vt:lpstr>Land use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2023-02-07T10:00:17Z</dcterms:modified>
</cp:coreProperties>
</file>